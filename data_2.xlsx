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28950\Documents\uWaterloo\ECON 102\Assignment 2\"/>
    </mc:Choice>
  </mc:AlternateContent>
  <xr:revisionPtr revIDLastSave="0" documentId="13_ncr:1_{9437009D-8086-4E82-B077-703EA494FC2E}" xr6:coauthVersionLast="47" xr6:coauthVersionMax="47" xr10:uidLastSave="{00000000-0000-0000-0000-000000000000}"/>
  <bookViews>
    <workbookView xWindow="6240" yWindow="2280" windowWidth="28800" windowHeight="15850" xr2:uid="{00000000-000D-0000-FFFF-FFFF00000000}"/>
  </bookViews>
  <sheets>
    <sheet name="Wage130" sheetId="2" r:id="rId1"/>
    <sheet name="Sheet1" sheetId="6" r:id="rId2"/>
    <sheet name="realgdp" sheetId="3" r:id="rId3"/>
    <sheet name="B" sheetId="1" r:id="rId4"/>
    <sheet name="B Graphs" sheetId="5" r:id="rId5"/>
    <sheet name="assigned-countries" sheetId="4" r:id="rId6"/>
  </sheets>
  <definedNames>
    <definedName name="_xlchart.v1.0" hidden="1">B!$H$84:$H$235</definedName>
    <definedName name="_xlchart.v1.1" hidden="1">B!$G$84:$G$235</definedName>
    <definedName name="_xlchart.v1.2" hidden="1">B!$K$85:$K$236</definedName>
    <definedName name="_xlchart.v1.3" hidden="1">B!$J$85:$J$236</definedName>
    <definedName name="ExternalData_1" localSheetId="2" hidden="1">'realgdp'!$A$1:$EW$49</definedName>
    <definedName name="ExternalData_1" localSheetId="0" hidden="1">Wage130!$A$1:$E$24</definedName>
    <definedName name="ExternalData_2" localSheetId="5" hidden="1">'assigned-countries'!$A$1:$G$153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6" i="1" l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85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84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85" i="1"/>
  <c r="G85" i="1" l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84" i="1"/>
  <c r="Z5" i="1" l="1"/>
  <c r="Z4" i="1"/>
  <c r="Z3" i="1"/>
  <c r="Z2" i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N2" i="1"/>
  <c r="N3" i="1"/>
  <c r="N4" i="1"/>
  <c r="O4" i="1" s="1"/>
  <c r="N5" i="1"/>
  <c r="N6" i="1"/>
  <c r="N7" i="1"/>
  <c r="N8" i="1"/>
  <c r="O8" i="1" s="1"/>
  <c r="N9" i="1"/>
  <c r="N10" i="1"/>
  <c r="O10" i="1" s="1"/>
  <c r="N11" i="1"/>
  <c r="N12" i="1"/>
  <c r="O12" i="1" s="1"/>
  <c r="N13" i="1"/>
  <c r="N14" i="1"/>
  <c r="N15" i="1"/>
  <c r="N16" i="1"/>
  <c r="O16" i="1" s="1"/>
  <c r="N17" i="1"/>
  <c r="N18" i="1"/>
  <c r="N19" i="1"/>
  <c r="N20" i="1"/>
  <c r="O20" i="1" s="1"/>
  <c r="N21" i="1"/>
  <c r="N22" i="1"/>
  <c r="N23" i="1"/>
  <c r="N24" i="1"/>
  <c r="N25" i="1"/>
  <c r="N26" i="1"/>
  <c r="N27" i="1"/>
  <c r="N28" i="1"/>
  <c r="O28" i="1" s="1"/>
  <c r="N29" i="1"/>
  <c r="N30" i="1"/>
  <c r="N31" i="1"/>
  <c r="N32" i="1"/>
  <c r="N33" i="1"/>
  <c r="N34" i="1"/>
  <c r="N35" i="1"/>
  <c r="N36" i="1"/>
  <c r="O36" i="1" s="1"/>
  <c r="N37" i="1"/>
  <c r="N38" i="1"/>
  <c r="N39" i="1"/>
  <c r="N40" i="1"/>
  <c r="N41" i="1"/>
  <c r="N42" i="1"/>
  <c r="N43" i="1"/>
  <c r="N44" i="1"/>
  <c r="O44" i="1" s="1"/>
  <c r="N45" i="1"/>
  <c r="N46" i="1"/>
  <c r="N47" i="1"/>
  <c r="N48" i="1"/>
  <c r="N49" i="1"/>
  <c r="L2" i="1"/>
  <c r="L3" i="1"/>
  <c r="L4" i="1"/>
  <c r="M4" i="1" s="1"/>
  <c r="L5" i="1"/>
  <c r="L6" i="1"/>
  <c r="L7" i="1"/>
  <c r="L8" i="1"/>
  <c r="L9" i="1"/>
  <c r="L10" i="1"/>
  <c r="L11" i="1"/>
  <c r="L12" i="1"/>
  <c r="M12" i="1" s="1"/>
  <c r="L13" i="1"/>
  <c r="L14" i="1"/>
  <c r="L15" i="1"/>
  <c r="L16" i="1"/>
  <c r="L17" i="1"/>
  <c r="L18" i="1"/>
  <c r="L19" i="1"/>
  <c r="L20" i="1"/>
  <c r="M20" i="1" s="1"/>
  <c r="L21" i="1"/>
  <c r="L22" i="1"/>
  <c r="L23" i="1"/>
  <c r="L24" i="1"/>
  <c r="M24" i="1" s="1"/>
  <c r="L25" i="1"/>
  <c r="L26" i="1"/>
  <c r="L27" i="1"/>
  <c r="L28" i="1"/>
  <c r="M28" i="1" s="1"/>
  <c r="L29" i="1"/>
  <c r="L30" i="1"/>
  <c r="L31" i="1"/>
  <c r="L32" i="1"/>
  <c r="M32" i="1" s="1"/>
  <c r="L33" i="1"/>
  <c r="L34" i="1"/>
  <c r="L35" i="1"/>
  <c r="L36" i="1"/>
  <c r="M36" i="1" s="1"/>
  <c r="L37" i="1"/>
  <c r="L38" i="1"/>
  <c r="L39" i="1"/>
  <c r="L40" i="1"/>
  <c r="L41" i="1"/>
  <c r="L42" i="1"/>
  <c r="L43" i="1"/>
  <c r="L44" i="1"/>
  <c r="M44" i="1" s="1"/>
  <c r="L45" i="1"/>
  <c r="L46" i="1"/>
  <c r="L47" i="1"/>
  <c r="L48" i="1"/>
  <c r="L49" i="1"/>
  <c r="J2" i="1"/>
  <c r="J3" i="1"/>
  <c r="J4" i="1"/>
  <c r="K4" i="1" s="1"/>
  <c r="J5" i="1"/>
  <c r="J6" i="1"/>
  <c r="J7" i="1"/>
  <c r="J8" i="1"/>
  <c r="J9" i="1"/>
  <c r="J10" i="1"/>
  <c r="J11" i="1"/>
  <c r="J12" i="1"/>
  <c r="K12" i="1" s="1"/>
  <c r="J13" i="1"/>
  <c r="J14" i="1"/>
  <c r="J15" i="1"/>
  <c r="J16" i="1"/>
  <c r="J17" i="1"/>
  <c r="J18" i="1"/>
  <c r="J19" i="1"/>
  <c r="J20" i="1"/>
  <c r="K20" i="1" s="1"/>
  <c r="J21" i="1"/>
  <c r="J22" i="1"/>
  <c r="J23" i="1"/>
  <c r="J24" i="1"/>
  <c r="J25" i="1"/>
  <c r="J26" i="1"/>
  <c r="J27" i="1"/>
  <c r="J28" i="1"/>
  <c r="K28" i="1" s="1"/>
  <c r="J29" i="1"/>
  <c r="J30" i="1"/>
  <c r="J31" i="1"/>
  <c r="J32" i="1"/>
  <c r="J33" i="1"/>
  <c r="J34" i="1"/>
  <c r="J35" i="1"/>
  <c r="J36" i="1"/>
  <c r="K36" i="1" s="1"/>
  <c r="J37" i="1"/>
  <c r="J38" i="1"/>
  <c r="J39" i="1"/>
  <c r="J40" i="1"/>
  <c r="J41" i="1"/>
  <c r="J42" i="1"/>
  <c r="J43" i="1"/>
  <c r="J44" i="1"/>
  <c r="K44" i="1" s="1"/>
  <c r="J45" i="1"/>
  <c r="J46" i="1"/>
  <c r="J47" i="1"/>
  <c r="J48" i="1"/>
  <c r="J49" i="1"/>
  <c r="H2" i="1"/>
  <c r="H3" i="1"/>
  <c r="H4" i="1"/>
  <c r="I4" i="1" s="1"/>
  <c r="H5" i="1"/>
  <c r="H6" i="1"/>
  <c r="H7" i="1"/>
  <c r="H8" i="1"/>
  <c r="H9" i="1"/>
  <c r="H10" i="1"/>
  <c r="H11" i="1"/>
  <c r="H12" i="1"/>
  <c r="I12" i="1" s="1"/>
  <c r="H13" i="1"/>
  <c r="H14" i="1"/>
  <c r="H15" i="1"/>
  <c r="H16" i="1"/>
  <c r="H17" i="1"/>
  <c r="H18" i="1"/>
  <c r="H19" i="1"/>
  <c r="H20" i="1"/>
  <c r="I20" i="1" s="1"/>
  <c r="H21" i="1"/>
  <c r="H22" i="1"/>
  <c r="H23" i="1"/>
  <c r="H24" i="1"/>
  <c r="H25" i="1"/>
  <c r="H26" i="1"/>
  <c r="H27" i="1"/>
  <c r="H28" i="1"/>
  <c r="I28" i="1" s="1"/>
  <c r="H29" i="1"/>
  <c r="H30" i="1"/>
  <c r="H31" i="1"/>
  <c r="H32" i="1"/>
  <c r="H33" i="1"/>
  <c r="H34" i="1"/>
  <c r="H35" i="1"/>
  <c r="H36" i="1"/>
  <c r="I36" i="1" s="1"/>
  <c r="H37" i="1"/>
  <c r="H38" i="1"/>
  <c r="H39" i="1"/>
  <c r="H40" i="1"/>
  <c r="H41" i="1"/>
  <c r="H42" i="1"/>
  <c r="H43" i="1"/>
  <c r="H44" i="1"/>
  <c r="I44" i="1" s="1"/>
  <c r="H45" i="1"/>
  <c r="H46" i="1"/>
  <c r="H47" i="1"/>
  <c r="H48" i="1"/>
  <c r="H49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I47" i="1" l="1"/>
  <c r="I39" i="1"/>
  <c r="I31" i="1"/>
  <c r="I23" i="1"/>
  <c r="I15" i="1"/>
  <c r="I7" i="1"/>
  <c r="K47" i="1"/>
  <c r="K39" i="1"/>
  <c r="K31" i="1"/>
  <c r="K23" i="1"/>
  <c r="K15" i="1"/>
  <c r="K7" i="1"/>
  <c r="M47" i="1"/>
  <c r="M39" i="1"/>
  <c r="M31" i="1"/>
  <c r="M23" i="1"/>
  <c r="M15" i="1"/>
  <c r="O47" i="1"/>
  <c r="O39" i="1"/>
  <c r="O31" i="1"/>
  <c r="O23" i="1"/>
  <c r="O7" i="1"/>
  <c r="I45" i="1"/>
  <c r="I37" i="1"/>
  <c r="I29" i="1"/>
  <c r="I21" i="1"/>
  <c r="I13" i="1"/>
  <c r="I5" i="1"/>
  <c r="K45" i="1"/>
  <c r="K37" i="1"/>
  <c r="K29" i="1"/>
  <c r="K21" i="1"/>
  <c r="K13" i="1"/>
  <c r="K5" i="1"/>
  <c r="M45" i="1"/>
  <c r="M37" i="1"/>
  <c r="M29" i="1"/>
  <c r="M21" i="1"/>
  <c r="M13" i="1"/>
  <c r="M5" i="1"/>
  <c r="O45" i="1"/>
  <c r="O37" i="1"/>
  <c r="O29" i="1"/>
  <c r="O21" i="1"/>
  <c r="O13" i="1"/>
  <c r="O5" i="1"/>
  <c r="I42" i="1"/>
  <c r="I34" i="1"/>
  <c r="I26" i="1"/>
  <c r="I18" i="1"/>
  <c r="K42" i="1"/>
  <c r="K18" i="1"/>
  <c r="K10" i="1"/>
  <c r="M42" i="1"/>
  <c r="M34" i="1"/>
  <c r="M18" i="1"/>
  <c r="M10" i="1"/>
  <c r="O42" i="1"/>
  <c r="O34" i="1"/>
  <c r="O26" i="1"/>
  <c r="O18" i="1"/>
  <c r="I49" i="1"/>
  <c r="I41" i="1"/>
  <c r="I33" i="1"/>
  <c r="I25" i="1"/>
  <c r="I17" i="1"/>
  <c r="I9" i="1"/>
  <c r="K49" i="1"/>
  <c r="K41" i="1"/>
  <c r="K33" i="1"/>
  <c r="K25" i="1"/>
  <c r="K17" i="1"/>
  <c r="K9" i="1"/>
  <c r="M49" i="1"/>
  <c r="M41" i="1"/>
  <c r="M33" i="1"/>
  <c r="M25" i="1"/>
  <c r="M9" i="1"/>
  <c r="O49" i="1"/>
  <c r="O41" i="1"/>
  <c r="O33" i="1"/>
  <c r="O25" i="1"/>
  <c r="O17" i="1"/>
  <c r="O9" i="1"/>
  <c r="I10" i="1"/>
  <c r="K34" i="1"/>
  <c r="K26" i="1"/>
  <c r="M26" i="1"/>
  <c r="M17" i="1"/>
  <c r="M8" i="1"/>
  <c r="I43" i="1"/>
  <c r="I35" i="1"/>
  <c r="I27" i="1"/>
  <c r="I19" i="1"/>
  <c r="I11" i="1"/>
  <c r="I3" i="1"/>
  <c r="K43" i="1"/>
  <c r="K35" i="1"/>
  <c r="K27" i="1"/>
  <c r="K19" i="1"/>
  <c r="K11" i="1"/>
  <c r="K3" i="1"/>
  <c r="M43" i="1"/>
  <c r="M35" i="1"/>
  <c r="M27" i="1"/>
  <c r="M19" i="1"/>
  <c r="M11" i="1"/>
  <c r="M3" i="1"/>
  <c r="O43" i="1"/>
  <c r="O35" i="1"/>
  <c r="O27" i="1"/>
  <c r="O19" i="1"/>
  <c r="O11" i="1"/>
  <c r="O3" i="1"/>
  <c r="I48" i="1"/>
  <c r="I40" i="1"/>
  <c r="I32" i="1"/>
  <c r="I24" i="1"/>
  <c r="I16" i="1"/>
  <c r="I8" i="1"/>
  <c r="K48" i="1"/>
  <c r="K40" i="1"/>
  <c r="K32" i="1"/>
  <c r="K24" i="1"/>
  <c r="K16" i="1"/>
  <c r="K8" i="1"/>
  <c r="M48" i="1"/>
  <c r="M40" i="1"/>
  <c r="M16" i="1"/>
  <c r="O48" i="1"/>
  <c r="O40" i="1"/>
  <c r="O32" i="1"/>
  <c r="O24" i="1"/>
  <c r="M7" i="1"/>
  <c r="O15" i="1"/>
  <c r="I46" i="1"/>
  <c r="I38" i="1"/>
  <c r="I30" i="1"/>
  <c r="I22" i="1"/>
  <c r="I14" i="1"/>
  <c r="I6" i="1"/>
  <c r="K46" i="1"/>
  <c r="K38" i="1"/>
  <c r="K30" i="1"/>
  <c r="K22" i="1"/>
  <c r="K14" i="1"/>
  <c r="K6" i="1"/>
  <c r="M46" i="1"/>
  <c r="M38" i="1"/>
  <c r="M30" i="1"/>
  <c r="M22" i="1"/>
  <c r="M14" i="1"/>
  <c r="M6" i="1"/>
  <c r="O46" i="1"/>
  <c r="O38" i="1"/>
  <c r="O30" i="1"/>
  <c r="O22" i="1"/>
  <c r="O14" i="1"/>
  <c r="O6" i="1"/>
  <c r="C29" i="1"/>
  <c r="Q29" i="1" s="1"/>
  <c r="U29" i="1" s="1"/>
  <c r="C4" i="1"/>
  <c r="Q4" i="1" s="1"/>
  <c r="U4" i="1" s="1"/>
  <c r="C43" i="1"/>
  <c r="S43" i="1" s="1"/>
  <c r="W43" i="1" s="1"/>
  <c r="C35" i="1"/>
  <c r="S35" i="1" s="1"/>
  <c r="W35" i="1" s="1"/>
  <c r="C27" i="1"/>
  <c r="P27" i="1" s="1"/>
  <c r="T27" i="1" s="1"/>
  <c r="C19" i="1"/>
  <c r="R19" i="1" s="1"/>
  <c r="V19" i="1" s="1"/>
  <c r="C11" i="1"/>
  <c r="R11" i="1" s="1"/>
  <c r="V11" i="1" s="1"/>
  <c r="C3" i="1"/>
  <c r="S3" i="1" s="1"/>
  <c r="W3" i="1" s="1"/>
  <c r="C21" i="1"/>
  <c r="P21" i="1" s="1"/>
  <c r="T21" i="1" s="1"/>
  <c r="C20" i="1"/>
  <c r="Q20" i="1" s="1"/>
  <c r="U20" i="1" s="1"/>
  <c r="C42" i="1"/>
  <c r="S42" i="1" s="1"/>
  <c r="W42" i="1" s="1"/>
  <c r="C34" i="1"/>
  <c r="S34" i="1" s="1"/>
  <c r="W34" i="1" s="1"/>
  <c r="C26" i="1"/>
  <c r="P26" i="1" s="1"/>
  <c r="T26" i="1" s="1"/>
  <c r="C18" i="1"/>
  <c r="S18" i="1" s="1"/>
  <c r="W18" i="1" s="1"/>
  <c r="C10" i="1"/>
  <c r="R10" i="1" s="1"/>
  <c r="V10" i="1" s="1"/>
  <c r="C2" i="1"/>
  <c r="R2" i="1" s="1"/>
  <c r="V2" i="1" s="1"/>
  <c r="C5" i="1"/>
  <c r="Q5" i="1" s="1"/>
  <c r="U5" i="1" s="1"/>
  <c r="C44" i="1"/>
  <c r="Q44" i="1" s="1"/>
  <c r="U44" i="1" s="1"/>
  <c r="C49" i="1"/>
  <c r="Q49" i="1" s="1"/>
  <c r="U49" i="1" s="1"/>
  <c r="C41" i="1"/>
  <c r="S41" i="1" s="1"/>
  <c r="W41" i="1" s="1"/>
  <c r="C33" i="1"/>
  <c r="Q33" i="1" s="1"/>
  <c r="U33" i="1" s="1"/>
  <c r="C25" i="1"/>
  <c r="Q25" i="1" s="1"/>
  <c r="U25" i="1" s="1"/>
  <c r="C17" i="1"/>
  <c r="R17" i="1" s="1"/>
  <c r="V17" i="1" s="1"/>
  <c r="C9" i="1"/>
  <c r="R9" i="1" s="1"/>
  <c r="V9" i="1" s="1"/>
  <c r="C45" i="1"/>
  <c r="P45" i="1" s="1"/>
  <c r="T45" i="1" s="1"/>
  <c r="C28" i="1"/>
  <c r="Q28" i="1" s="1"/>
  <c r="U28" i="1" s="1"/>
  <c r="C48" i="1"/>
  <c r="Q48" i="1" s="1"/>
  <c r="U48" i="1" s="1"/>
  <c r="C40" i="1"/>
  <c r="R40" i="1" s="1"/>
  <c r="V40" i="1" s="1"/>
  <c r="C32" i="1"/>
  <c r="Q32" i="1" s="1"/>
  <c r="U32" i="1" s="1"/>
  <c r="C24" i="1"/>
  <c r="Q24" i="1" s="1"/>
  <c r="U24" i="1" s="1"/>
  <c r="C16" i="1"/>
  <c r="P16" i="1" s="1"/>
  <c r="T16" i="1" s="1"/>
  <c r="C8" i="1"/>
  <c r="P8" i="1" s="1"/>
  <c r="T8" i="1" s="1"/>
  <c r="C13" i="1"/>
  <c r="S13" i="1" s="1"/>
  <c r="W13" i="1" s="1"/>
  <c r="C12" i="1"/>
  <c r="Q12" i="1" s="1"/>
  <c r="U12" i="1" s="1"/>
  <c r="C47" i="1"/>
  <c r="S47" i="1" s="1"/>
  <c r="W47" i="1" s="1"/>
  <c r="C39" i="1"/>
  <c r="S39" i="1" s="1"/>
  <c r="W39" i="1" s="1"/>
  <c r="C31" i="1"/>
  <c r="P31" i="1" s="1"/>
  <c r="T31" i="1" s="1"/>
  <c r="C23" i="1"/>
  <c r="S23" i="1" s="1"/>
  <c r="W23" i="1" s="1"/>
  <c r="C15" i="1"/>
  <c r="R15" i="1" s="1"/>
  <c r="V15" i="1" s="1"/>
  <c r="C7" i="1"/>
  <c r="R7" i="1" s="1"/>
  <c r="V7" i="1" s="1"/>
  <c r="C37" i="1"/>
  <c r="R37" i="1" s="1"/>
  <c r="V37" i="1" s="1"/>
  <c r="C36" i="1"/>
  <c r="Q36" i="1" s="1"/>
  <c r="U36" i="1" s="1"/>
  <c r="C46" i="1"/>
  <c r="P46" i="1" s="1"/>
  <c r="T46" i="1" s="1"/>
  <c r="C38" i="1"/>
  <c r="R38" i="1" s="1"/>
  <c r="V38" i="1" s="1"/>
  <c r="C30" i="1"/>
  <c r="R30" i="1" s="1"/>
  <c r="V30" i="1" s="1"/>
  <c r="C22" i="1"/>
  <c r="S22" i="1" s="1"/>
  <c r="W22" i="1" s="1"/>
  <c r="C14" i="1"/>
  <c r="P14" i="1" s="1"/>
  <c r="T14" i="1" s="1"/>
  <c r="C6" i="1"/>
  <c r="S6" i="1" s="1"/>
  <c r="W6" i="1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S4" i="1" l="1"/>
  <c r="W4" i="1" s="1"/>
  <c r="R36" i="1"/>
  <c r="V36" i="1" s="1"/>
  <c r="S36" i="1"/>
  <c r="W36" i="1" s="1"/>
  <c r="R29" i="1"/>
  <c r="V29" i="1" s="1"/>
  <c r="S29" i="1"/>
  <c r="W29" i="1" s="1"/>
  <c r="P9" i="1"/>
  <c r="T9" i="1" s="1"/>
  <c r="P29" i="1"/>
  <c r="T29" i="1" s="1"/>
  <c r="S32" i="1"/>
  <c r="W32" i="1" s="1"/>
  <c r="P30" i="1"/>
  <c r="T30" i="1" s="1"/>
  <c r="Q45" i="1"/>
  <c r="U45" i="1" s="1"/>
  <c r="Q43" i="1"/>
  <c r="U43" i="1" s="1"/>
  <c r="Q42" i="1"/>
  <c r="U42" i="1" s="1"/>
  <c r="Q19" i="1"/>
  <c r="U19" i="1" s="1"/>
  <c r="S21" i="1"/>
  <c r="W21" i="1" s="1"/>
  <c r="Q37" i="1"/>
  <c r="U37" i="1" s="1"/>
  <c r="P43" i="1"/>
  <c r="T43" i="1" s="1"/>
  <c r="R43" i="1"/>
  <c r="V43" i="1" s="1"/>
  <c r="R45" i="1"/>
  <c r="V45" i="1" s="1"/>
  <c r="P42" i="1"/>
  <c r="T42" i="1" s="1"/>
  <c r="P19" i="1"/>
  <c r="T19" i="1" s="1"/>
  <c r="S8" i="1"/>
  <c r="W8" i="1" s="1"/>
  <c r="R27" i="1"/>
  <c r="V27" i="1" s="1"/>
  <c r="R4" i="1"/>
  <c r="V4" i="1" s="1"/>
  <c r="S2" i="1"/>
  <c r="W2" i="1" s="1"/>
  <c r="R8" i="1"/>
  <c r="V8" i="1" s="1"/>
  <c r="R48" i="1"/>
  <c r="V48" i="1" s="1"/>
  <c r="R20" i="1"/>
  <c r="V20" i="1" s="1"/>
  <c r="P5" i="1"/>
  <c r="T5" i="1" s="1"/>
  <c r="P37" i="1"/>
  <c r="T37" i="1" s="1"/>
  <c r="R47" i="1"/>
  <c r="V47" i="1" s="1"/>
  <c r="R5" i="1"/>
  <c r="V5" i="1" s="1"/>
  <c r="R33" i="1"/>
  <c r="V33" i="1" s="1"/>
  <c r="S5" i="1"/>
  <c r="W5" i="1" s="1"/>
  <c r="S11" i="1"/>
  <c r="W11" i="1" s="1"/>
  <c r="Q13" i="1"/>
  <c r="U13" i="1" s="1"/>
  <c r="R13" i="1"/>
  <c r="V13" i="1" s="1"/>
  <c r="S9" i="1"/>
  <c r="W9" i="1" s="1"/>
  <c r="R49" i="1"/>
  <c r="V49" i="1" s="1"/>
  <c r="S37" i="1"/>
  <c r="W37" i="1" s="1"/>
  <c r="R46" i="1"/>
  <c r="V46" i="1" s="1"/>
  <c r="Q16" i="1"/>
  <c r="U16" i="1" s="1"/>
  <c r="R28" i="1"/>
  <c r="V28" i="1" s="1"/>
  <c r="S44" i="1"/>
  <c r="W44" i="1" s="1"/>
  <c r="Q6" i="1"/>
  <c r="U6" i="1" s="1"/>
  <c r="P13" i="1"/>
  <c r="T13" i="1" s="1"/>
  <c r="S28" i="1"/>
  <c r="W28" i="1" s="1"/>
  <c r="Q18" i="1"/>
  <c r="U18" i="1" s="1"/>
  <c r="Q30" i="1"/>
  <c r="U30" i="1" s="1"/>
  <c r="Q23" i="1"/>
  <c r="U23" i="1" s="1"/>
  <c r="S12" i="1"/>
  <c r="W12" i="1" s="1"/>
  <c r="S48" i="1"/>
  <c r="W48" i="1" s="1"/>
  <c r="S45" i="1"/>
  <c r="W45" i="1" s="1"/>
  <c r="S10" i="1"/>
  <c r="W10" i="1" s="1"/>
  <c r="R42" i="1"/>
  <c r="V42" i="1" s="1"/>
  <c r="P47" i="1"/>
  <c r="T47" i="1" s="1"/>
  <c r="P44" i="1"/>
  <c r="T44" i="1" s="1"/>
  <c r="P2" i="1"/>
  <c r="T2" i="1" s="1"/>
  <c r="Q21" i="1"/>
  <c r="U21" i="1" s="1"/>
  <c r="P36" i="1"/>
  <c r="T36" i="1" s="1"/>
  <c r="S7" i="1"/>
  <c r="W7" i="1" s="1"/>
  <c r="Q47" i="1"/>
  <c r="U47" i="1" s="1"/>
  <c r="R44" i="1"/>
  <c r="V44" i="1" s="1"/>
  <c r="Q2" i="1"/>
  <c r="U2" i="1" s="1"/>
  <c r="R21" i="1"/>
  <c r="V21" i="1" s="1"/>
  <c r="R14" i="1"/>
  <c r="V14" i="1" s="1"/>
  <c r="Q46" i="1"/>
  <c r="U46" i="1" s="1"/>
  <c r="S15" i="1"/>
  <c r="W15" i="1" s="1"/>
  <c r="Q8" i="1"/>
  <c r="U8" i="1" s="1"/>
  <c r="Q9" i="1"/>
  <c r="U9" i="1" s="1"/>
  <c r="S33" i="1"/>
  <c r="W33" i="1" s="1"/>
  <c r="Q26" i="1"/>
  <c r="U26" i="1" s="1"/>
  <c r="P3" i="1"/>
  <c r="T3" i="1" s="1"/>
  <c r="P6" i="1"/>
  <c r="T6" i="1" s="1"/>
  <c r="P7" i="1"/>
  <c r="T7" i="1" s="1"/>
  <c r="P48" i="1"/>
  <c r="T48" i="1" s="1"/>
  <c r="S17" i="1"/>
  <c r="W17" i="1" s="1"/>
  <c r="S49" i="1"/>
  <c r="W49" i="1" s="1"/>
  <c r="R26" i="1"/>
  <c r="V26" i="1" s="1"/>
  <c r="S20" i="1"/>
  <c r="W20" i="1" s="1"/>
  <c r="Q3" i="1"/>
  <c r="U3" i="1" s="1"/>
  <c r="S19" i="1"/>
  <c r="W19" i="1" s="1"/>
  <c r="R6" i="1"/>
  <c r="V6" i="1" s="1"/>
  <c r="Q7" i="1"/>
  <c r="U7" i="1" s="1"/>
  <c r="Q31" i="1"/>
  <c r="U31" i="1" s="1"/>
  <c r="P12" i="1"/>
  <c r="T12" i="1" s="1"/>
  <c r="P49" i="1"/>
  <c r="T49" i="1" s="1"/>
  <c r="R3" i="1"/>
  <c r="V3" i="1" s="1"/>
  <c r="R31" i="1"/>
  <c r="V31" i="1" s="1"/>
  <c r="R12" i="1"/>
  <c r="V12" i="1" s="1"/>
  <c r="R32" i="1"/>
  <c r="V32" i="1" s="1"/>
  <c r="P28" i="1"/>
  <c r="T28" i="1" s="1"/>
  <c r="R25" i="1"/>
  <c r="V25" i="1" s="1"/>
  <c r="Q27" i="1"/>
  <c r="U27" i="1" s="1"/>
  <c r="Q22" i="1"/>
  <c r="U22" i="1" s="1"/>
  <c r="S30" i="1"/>
  <c r="W30" i="1" s="1"/>
  <c r="S46" i="1"/>
  <c r="W46" i="1" s="1"/>
  <c r="P23" i="1"/>
  <c r="T23" i="1" s="1"/>
  <c r="S31" i="1"/>
  <c r="W31" i="1" s="1"/>
  <c r="R24" i="1"/>
  <c r="V24" i="1" s="1"/>
  <c r="P32" i="1"/>
  <c r="T32" i="1" s="1"/>
  <c r="P25" i="1"/>
  <c r="T25" i="1" s="1"/>
  <c r="P33" i="1"/>
  <c r="T33" i="1" s="1"/>
  <c r="P18" i="1"/>
  <c r="T18" i="1" s="1"/>
  <c r="S26" i="1"/>
  <c r="W26" i="1" s="1"/>
  <c r="S27" i="1"/>
  <c r="W27" i="1" s="1"/>
  <c r="P22" i="1"/>
  <c r="T22" i="1" s="1"/>
  <c r="S24" i="1"/>
  <c r="W24" i="1" s="1"/>
  <c r="R22" i="1"/>
  <c r="V22" i="1" s="1"/>
  <c r="P38" i="1"/>
  <c r="T38" i="1" s="1"/>
  <c r="R23" i="1"/>
  <c r="V23" i="1" s="1"/>
  <c r="P39" i="1"/>
  <c r="T39" i="1" s="1"/>
  <c r="P24" i="1"/>
  <c r="T24" i="1" s="1"/>
  <c r="P40" i="1"/>
  <c r="T40" i="1" s="1"/>
  <c r="S25" i="1"/>
  <c r="W25" i="1" s="1"/>
  <c r="P41" i="1"/>
  <c r="T41" i="1" s="1"/>
  <c r="R18" i="1"/>
  <c r="V18" i="1" s="1"/>
  <c r="P34" i="1"/>
  <c r="T34" i="1" s="1"/>
  <c r="P35" i="1"/>
  <c r="T35" i="1" s="1"/>
  <c r="S14" i="1"/>
  <c r="W14" i="1" s="1"/>
  <c r="Q38" i="1"/>
  <c r="U38" i="1" s="1"/>
  <c r="P15" i="1"/>
  <c r="T15" i="1" s="1"/>
  <c r="Q39" i="1"/>
  <c r="U39" i="1" s="1"/>
  <c r="R16" i="1"/>
  <c r="V16" i="1" s="1"/>
  <c r="S40" i="1"/>
  <c r="W40" i="1" s="1"/>
  <c r="P17" i="1"/>
  <c r="T17" i="1" s="1"/>
  <c r="R41" i="1"/>
  <c r="V41" i="1" s="1"/>
  <c r="P10" i="1"/>
  <c r="T10" i="1" s="1"/>
  <c r="Q34" i="1"/>
  <c r="U34" i="1" s="1"/>
  <c r="P11" i="1"/>
  <c r="T11" i="1" s="1"/>
  <c r="Q35" i="1"/>
  <c r="U35" i="1" s="1"/>
  <c r="Q15" i="1"/>
  <c r="U15" i="1" s="1"/>
  <c r="R39" i="1"/>
  <c r="V39" i="1" s="1"/>
  <c r="S16" i="1"/>
  <c r="W16" i="1" s="1"/>
  <c r="Q40" i="1"/>
  <c r="U40" i="1" s="1"/>
  <c r="Q17" i="1"/>
  <c r="U17" i="1" s="1"/>
  <c r="Q41" i="1"/>
  <c r="U41" i="1" s="1"/>
  <c r="Q10" i="1"/>
  <c r="U10" i="1" s="1"/>
  <c r="R34" i="1"/>
  <c r="V34" i="1" s="1"/>
  <c r="P20" i="1"/>
  <c r="T20" i="1" s="1"/>
  <c r="Q11" i="1"/>
  <c r="U11" i="1" s="1"/>
  <c r="R35" i="1"/>
  <c r="V35" i="1" s="1"/>
  <c r="P4" i="1"/>
  <c r="T4" i="1" s="1"/>
  <c r="Q14" i="1"/>
  <c r="U14" i="1" s="1"/>
  <c r="S38" i="1"/>
  <c r="W38" i="1" s="1"/>
  <c r="H10" i="2"/>
  <c r="I10" i="2"/>
  <c r="H8" i="2"/>
  <c r="I8" i="2"/>
  <c r="H17" i="2"/>
  <c r="I17" i="2"/>
  <c r="H24" i="2"/>
  <c r="I24" i="2"/>
  <c r="H16" i="2"/>
  <c r="I16" i="2"/>
  <c r="H23" i="2"/>
  <c r="I23" i="2"/>
  <c r="H15" i="2"/>
  <c r="I15" i="2"/>
  <c r="H7" i="2"/>
  <c r="I7" i="2"/>
  <c r="H22" i="2"/>
  <c r="I22" i="2"/>
  <c r="H14" i="2"/>
  <c r="I14" i="2"/>
  <c r="H6" i="2"/>
  <c r="I6" i="2"/>
  <c r="H5" i="2"/>
  <c r="I5" i="2"/>
  <c r="H18" i="2"/>
  <c r="I18" i="2"/>
  <c r="H21" i="2"/>
  <c r="I21" i="2"/>
  <c r="H20" i="2"/>
  <c r="I20" i="2"/>
  <c r="H12" i="2"/>
  <c r="I12" i="2"/>
  <c r="H4" i="2"/>
  <c r="I4" i="2"/>
  <c r="H9" i="2"/>
  <c r="I9" i="2"/>
  <c r="H13" i="2"/>
  <c r="I13" i="2"/>
  <c r="H19" i="2"/>
  <c r="I19" i="2"/>
  <c r="H11" i="2"/>
  <c r="I11" i="2"/>
  <c r="H3" i="2"/>
  <c r="I3" i="2"/>
  <c r="H2" i="2"/>
  <c r="I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5F366E-112C-4486-B02A-2AFE1176EFD8}" keepAlive="1" name="Query - assigned-countries" description="Connection to the 'assigned-countries' query in the workbook." type="5" refreshedVersion="7" background="1" saveData="1">
    <dbPr connection="Provider=Microsoft.Mashup.OleDb.1;Data Source=$Workbook$;Location=assigned-countries;Extended Properties=&quot;&quot;" command="SELECT * FROM [assigned-countries]"/>
  </connection>
  <connection id="2" xr16:uid="{A87B8EB0-5B87-4B2C-A6CF-401F08E9FDC7}" keepAlive="1" name="Query - realgdp" description="Connection to the 'realgdp' query in the workbook." type="5" refreshedVersion="7" background="1" saveData="1">
    <dbPr connection="Provider=Microsoft.Mashup.OleDb.1;Data Source=$Workbook$;Location=realgdp;Extended Properties=&quot;&quot;" command="SELECT * FROM [realgdp]"/>
  </connection>
  <connection id="3" xr16:uid="{4356DECE-76E6-4960-AC5B-C6A14AB5D859}" keepAlive="1" name="Query - Wage130" description="Connection to the 'Wage130' query in the workbook." type="5" refreshedVersion="7" background="1" saveData="1">
    <dbPr connection="Provider=Microsoft.Mashup.OleDb.1;Data Source=$Workbook$;Location=Wage130;Extended Properties=&quot;&quot;" command="SELECT * FROM [Wage130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350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<sst xmlns="http://schemas.openxmlformats.org/spreadsheetml/2006/main" count="972" uniqueCount="222">
  <si>
    <t>Year</t>
  </si>
  <si>
    <t>Males</t>
  </si>
  <si>
    <t>Females</t>
  </si>
  <si>
    <t>CPI</t>
  </si>
  <si>
    <t>Males(Real)</t>
  </si>
  <si>
    <t>Females(Real)</t>
  </si>
  <si>
    <t>DecDate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</si>
  <si>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</si>
  <si>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</si>
  <si>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</si>
  <si>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</si>
  <si>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</si>
  <si>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</si>
  <si>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</si>
  <si>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</si>
  <si>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</si>
  <si>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</si>
  <si>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</si>
  <si>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</si>
  <si>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</si>
  <si>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</si>
  <si>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</si>
  <si>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</si>
  <si>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</si>
  <si>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</si>
  <si>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</si>
  <si>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</si>
  <si>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</si>
  <si>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</si>
  <si>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</si>
  <si>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</si>
  <si>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</si>
  <si>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Trend(Real Male)</t>
  </si>
  <si>
    <t>Trend(Real Female)</t>
  </si>
  <si>
    <t>Detrend(Male)</t>
  </si>
  <si>
    <t>Detrend(Female)</t>
  </si>
  <si>
    <t>ABW</t>
  </si>
  <si>
    <t>AGO</t>
  </si>
  <si>
    <t>AIA</t>
  </si>
  <si>
    <t>ALB</t>
  </si>
  <si>
    <t>ARG</t>
  </si>
  <si>
    <t>ATG</t>
  </si>
  <si>
    <t>AUS</t>
  </si>
  <si>
    <t>AUT</t>
  </si>
  <si>
    <t>BDI</t>
  </si>
  <si>
    <t>BEL</t>
  </si>
  <si>
    <t>BEN</t>
  </si>
  <si>
    <t>BFA</t>
  </si>
  <si>
    <t>BGD</t>
  </si>
  <si>
    <t>BGR</t>
  </si>
  <si>
    <t>BHR</t>
  </si>
  <si>
    <t>BHS</t>
  </si>
  <si>
    <t>BLZ</t>
  </si>
  <si>
    <t>BMU</t>
  </si>
  <si>
    <t>BOL</t>
  </si>
  <si>
    <t>BRA</t>
  </si>
  <si>
    <t>BRB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</si>
  <si>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</si>
  <si>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</si>
  <si>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</si>
  <si>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</si>
  <si>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</si>
  <si>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</si>
  <si>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</si>
  <si>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</si>
  <si>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</si>
  <si>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</si>
  <si>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</si>
  <si>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</si>
  <si>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</si>
  <si>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</si>
  <si>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</si>
  <si>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CYM</t>
  </si>
  <si>
    <t>CYP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</si>
  <si>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</si>
  <si>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</si>
  <si>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</si>
  <si>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</si>
  <si>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</si>
  <si>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</si>
  <si>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</si>
  <si>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</si>
  <si>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</si>
  <si>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ETH</t>
  </si>
  <si>
    <t>FIN</t>
  </si>
  <si>
    <t>FJI</t>
  </si>
  <si>
    <t>FRA</t>
  </si>
  <si>
    <t>GAB</t>
  </si>
  <si>
    <t>GBR</t>
  </si>
  <si>
    <t>GHA</t>
  </si>
  <si>
    <t>GIN</t>
  </si>
  <si>
    <t>GMB</t>
  </si>
  <si>
    <t>GNB</t>
  </si>
  <si>
    <t>GNQ</t>
  </si>
  <si>
    <t>GRC</t>
  </si>
  <si>
    <t>GRD</t>
  </si>
  <si>
    <t>GTM</t>
  </si>
  <si>
    <t>HKG</t>
  </si>
  <si>
    <t>HND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</si>
  <si>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</si>
  <si>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</si>
  <si>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</si>
  <si>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</si>
  <si>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</si>
  <si>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</si>
  <si>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</si>
  <si>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</si>
  <si>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</si>
  <si>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</si>
  <si>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</si>
  <si>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</si>
  <si>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</si>
  <si>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KEN</t>
  </si>
  <si>
    <t>KHM</t>
  </si>
  <si>
    <t>KNA</t>
  </si>
  <si>
    <t>KOR</t>
  </si>
  <si>
    <t>KWT</t>
  </si>
  <si>
    <t>LAO</t>
  </si>
  <si>
    <t>LBN</t>
  </si>
  <si>
    <t>LBR</t>
  </si>
  <si>
    <t>LCA</t>
  </si>
  <si>
    <t>LKA</t>
  </si>
  <si>
    <t>LSO</t>
  </si>
  <si>
    <t>LUX</t>
  </si>
  <si>
    <t>MAR</t>
  </si>
  <si>
    <t>MDG</t>
  </si>
  <si>
    <t>MDV</t>
  </si>
  <si>
    <t>MEX</t>
  </si>
  <si>
    <t>MLI</t>
  </si>
  <si>
    <t>MLT</t>
  </si>
  <si>
    <t>MMR</t>
  </si>
  <si>
    <t>MNG</t>
  </si>
  <si>
    <t>MOZ</t>
  </si>
  <si>
    <t>MRT</t>
  </si>
  <si>
    <t>MSR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</si>
  <si>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</si>
  <si>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</si>
  <si>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</si>
  <si>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</si>
  <si>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</si>
  <si>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</si>
  <si>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</si>
  <si>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</si>
  <si>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</si>
  <si>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</si>
  <si>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</si>
  <si>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</si>
  <si>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</si>
  <si>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</si>
  <si>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</si>
  <si>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</si>
  <si>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</si>
  <si>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</si>
  <si>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</si>
  <si>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PSE</t>
  </si>
  <si>
    <t>ROU</t>
  </si>
  <si>
    <t>RWA</t>
  </si>
  <si>
    <t>SAU</t>
  </si>
  <si>
    <t>SDN</t>
  </si>
  <si>
    <t>SEN</t>
  </si>
  <si>
    <t>SGP</t>
  </si>
  <si>
    <t>SLE</t>
  </si>
  <si>
    <t>SLV</t>
  </si>
  <si>
    <t>STP</t>
  </si>
  <si>
    <t>SUR</t>
  </si>
  <si>
    <t>SWE</t>
  </si>
  <si>
    <t>SWZ</t>
  </si>
  <si>
    <t>SYC</t>
  </si>
  <si>
    <t>SYR</t>
  </si>
  <si>
    <t>TCA</t>
  </si>
  <si>
    <t>TCD</t>
  </si>
  <si>
    <t>TGO</t>
  </si>
  <si>
    <t>THA</t>
  </si>
  <si>
    <t>TTO</t>
  </si>
  <si>
    <t>TUN</t>
  </si>
  <si>
    <t>TUR</t>
  </si>
  <si>
    <t>TWN</t>
  </si>
  <si>
    <t>TZA</t>
  </si>
  <si>
    <t>UGA</t>
  </si>
  <si>
    <t>URY</t>
  </si>
  <si>
    <t>USA</t>
  </si>
  <si>
    <t>VCT</t>
  </si>
  <si>
    <t>VEN</t>
  </si>
  <si>
    <t>VGB</t>
  </si>
  <si>
    <t>VNM</t>
  </si>
  <si>
    <t>ZAF</t>
  </si>
  <si>
    <t>ZMB</t>
  </si>
  <si>
    <t>ZWE</t>
  </si>
  <si>
    <t>Assigned number</t>
  </si>
  <si>
    <t>Country 1</t>
  </si>
  <si>
    <t>Country 2</t>
  </si>
  <si>
    <t>Country 3</t>
  </si>
  <si>
    <t>Country 4</t>
  </si>
  <si>
    <t>Year 1</t>
  </si>
  <si>
    <t>Year 2</t>
  </si>
  <si>
    <t>LOG(Bahamas)</t>
  </si>
  <si>
    <t>LOG(Cayman Islands)</t>
  </si>
  <si>
    <t>LOG(Egypt)</t>
  </si>
  <si>
    <t>LOG(Saudi Arabia)</t>
  </si>
  <si>
    <t>DecDate^2</t>
  </si>
  <si>
    <t>Trend(Bahamas)</t>
  </si>
  <si>
    <t>Trend(Cayman Island)</t>
  </si>
  <si>
    <t>Trend(Egypt)</t>
  </si>
  <si>
    <t>Trend(Saudi Arabia)</t>
  </si>
  <si>
    <t>X Variable 2</t>
  </si>
  <si>
    <t>Bahamas:</t>
  </si>
  <si>
    <t>Cayman Island:</t>
  </si>
  <si>
    <t>Egypt:</t>
  </si>
  <si>
    <t>Saudi Arabia:</t>
  </si>
  <si>
    <t>Cycle(Bahamas)</t>
  </si>
  <si>
    <t>Cycle(Cayman Island)</t>
  </si>
  <si>
    <t>Cycle(Egypt)</t>
  </si>
  <si>
    <t>Cycle(Saudi Arabia)</t>
  </si>
  <si>
    <t>GR(Bahamas)</t>
  </si>
  <si>
    <t>GR(Cayman Island)</t>
  </si>
  <si>
    <t>GR(Egypt)</t>
  </si>
  <si>
    <t>GR(Saudi Arabia)</t>
  </si>
  <si>
    <t>Average:</t>
  </si>
  <si>
    <t>Bin</t>
  </si>
  <si>
    <t>More</t>
  </si>
  <si>
    <t>Frequency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</si>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</sst>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0" fontId="0" fillId="0" borderId="0" xfId="0" applyFill="1"/>
    <xf numFmtId="0" fontId="0" fillId="0" borderId="0" xfId="0" applyNumberFormat="1" applyFill="1"/>
    <xf numFmtId="0" fontId="1" fillId="0" borderId="0" xfId="0" applyFont="1" applyFill="1" applyBorder="1" applyAlignment="1">
      <alignment horizontal="centerContinuous"/>
    </xf>
    <xf numFmtId="0" fontId="0" fillId="3" borderId="3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2" borderId="3" xfId="0" applyFont="1" applyFill="1" applyBorder="1"/>
    <xf numFmtId="2" fontId="0" fillId="0" borderId="0" xfId="0" applyNumberFormat="1"/>
  </cellXfs>
  <cellStyles count="1">
    <cellStyle name="Normal" xfId="0" builtinId="0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" Target="richData/rdrichvalue.xml"/><Relationship Id="rId18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theme" Target="theme/theme1.xml"/><Relationship Id="rId12" Type="http://schemas.microsoft.com/office/2020/07/relationships/rdRichValueWebImage" Target="richData/rdRichValueWebImage.xml"/><Relationship Id="rId17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17/06/relationships/richStyles" Target="richData/rich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Array" Target="richData/rdarray.xml"/><Relationship Id="rId10" Type="http://schemas.openxmlformats.org/officeDocument/2006/relationships/sharedStrings" Target="sharedStrings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Evolution of Nominal Wage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Wage130!$C$1</c:f>
              <c:strCache>
                <c:ptCount val="1"/>
                <c:pt idx="0">
                  <c:v>Males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Wage130!$A$2:$A$24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Wage130!$C$2:$C$24</c:f>
              <c:numCache>
                <c:formatCode>General</c:formatCode>
                <c:ptCount val="23"/>
                <c:pt idx="0">
                  <c:v>13.1</c:v>
                </c:pt>
                <c:pt idx="1">
                  <c:v>12.83</c:v>
                </c:pt>
                <c:pt idx="2">
                  <c:v>13.56</c:v>
                </c:pt>
                <c:pt idx="3">
                  <c:v>13.71</c:v>
                </c:pt>
                <c:pt idx="4">
                  <c:v>14.79</c:v>
                </c:pt>
                <c:pt idx="5">
                  <c:v>15.75</c:v>
                </c:pt>
                <c:pt idx="6">
                  <c:v>16.29</c:v>
                </c:pt>
                <c:pt idx="7">
                  <c:v>14.69</c:v>
                </c:pt>
                <c:pt idx="8">
                  <c:v>16.59</c:v>
                </c:pt>
                <c:pt idx="9">
                  <c:v>17.29</c:v>
                </c:pt>
                <c:pt idx="10">
                  <c:v>18.760000000000002</c:v>
                </c:pt>
                <c:pt idx="11">
                  <c:v>20.85</c:v>
                </c:pt>
                <c:pt idx="12">
                  <c:v>21.72</c:v>
                </c:pt>
                <c:pt idx="13">
                  <c:v>21.88</c:v>
                </c:pt>
                <c:pt idx="14">
                  <c:v>22.15</c:v>
                </c:pt>
                <c:pt idx="15">
                  <c:v>22.7</c:v>
                </c:pt>
                <c:pt idx="16">
                  <c:v>25.1</c:v>
                </c:pt>
                <c:pt idx="17">
                  <c:v>25.25</c:v>
                </c:pt>
                <c:pt idx="18">
                  <c:v>26.95</c:v>
                </c:pt>
                <c:pt idx="19">
                  <c:v>26.08</c:v>
                </c:pt>
                <c:pt idx="20">
                  <c:v>25.6</c:v>
                </c:pt>
                <c:pt idx="21">
                  <c:v>25.76</c:v>
                </c:pt>
                <c:pt idx="22">
                  <c:v>28.01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D2-45AC-AAB8-19F62B4812CB}"/>
            </c:ext>
          </c:extLst>
        </c:ser>
        <c:ser>
          <c:idx val="2"/>
          <c:order val="1"/>
          <c:tx>
            <c:strRef>
              <c:f>Wage130!$D$1</c:f>
              <c:strCache>
                <c:ptCount val="1"/>
                <c:pt idx="0">
                  <c:v>Females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Wage130!$A$2:$A$24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Wage130!$D$2:$D$24</c:f>
              <c:numCache>
                <c:formatCode>General</c:formatCode>
                <c:ptCount val="23"/>
                <c:pt idx="0">
                  <c:v>11.03</c:v>
                </c:pt>
                <c:pt idx="1">
                  <c:v>11.46</c:v>
                </c:pt>
                <c:pt idx="2">
                  <c:v>11.66</c:v>
                </c:pt>
                <c:pt idx="3">
                  <c:v>12.23</c:v>
                </c:pt>
                <c:pt idx="4">
                  <c:v>12.22</c:v>
                </c:pt>
                <c:pt idx="5">
                  <c:v>12.86</c:v>
                </c:pt>
                <c:pt idx="6">
                  <c:v>13.26</c:v>
                </c:pt>
                <c:pt idx="7">
                  <c:v>13.56</c:v>
                </c:pt>
                <c:pt idx="8">
                  <c:v>13.84</c:v>
                </c:pt>
                <c:pt idx="9">
                  <c:v>14.71</c:v>
                </c:pt>
                <c:pt idx="10">
                  <c:v>17.16</c:v>
                </c:pt>
                <c:pt idx="11">
                  <c:v>17.079999999999998</c:v>
                </c:pt>
                <c:pt idx="12">
                  <c:v>18.91</c:v>
                </c:pt>
                <c:pt idx="13">
                  <c:v>19.95</c:v>
                </c:pt>
                <c:pt idx="14">
                  <c:v>18.41</c:v>
                </c:pt>
                <c:pt idx="15">
                  <c:v>20.13</c:v>
                </c:pt>
                <c:pt idx="16">
                  <c:v>20.51</c:v>
                </c:pt>
                <c:pt idx="17">
                  <c:v>20.260000000000002</c:v>
                </c:pt>
                <c:pt idx="18">
                  <c:v>22.55</c:v>
                </c:pt>
                <c:pt idx="19">
                  <c:v>23.11</c:v>
                </c:pt>
                <c:pt idx="20">
                  <c:v>22.27</c:v>
                </c:pt>
                <c:pt idx="21">
                  <c:v>21.36</c:v>
                </c:pt>
                <c:pt idx="22">
                  <c:v>24.37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D2-45AC-AAB8-19F62B481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068175"/>
        <c:axId val="547065679"/>
      </c:lineChart>
      <c:catAx>
        <c:axId val="547068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65679"/>
        <c:crosses val="autoZero"/>
        <c:auto val="1"/>
        <c:lblAlgn val="ctr"/>
        <c:lblOffset val="100"/>
        <c:noMultiLvlLbl val="0"/>
      </c:catAx>
      <c:valAx>
        <c:axId val="547065679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Nominal Wage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06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of Real Wage (base 2002)</a:t>
            </a:r>
            <a:endParaRPr lang="en-CA"/>
          </a:p>
        </c:rich>
      </c:tx>
      <c:layout>
        <c:manualLayout>
          <c:xMode val="edge"/>
          <c:yMode val="edge"/>
          <c:x val="0.3494391920733092"/>
          <c:y val="5.45978142818354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Wage130!$F$1</c:f>
              <c:strCache>
                <c:ptCount val="1"/>
                <c:pt idx="0">
                  <c:v>Males(Real)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Wage130!$A$2:$A$24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Wage130!$F$2:$F$24</c:f>
              <c:numCache>
                <c:formatCode>General</c:formatCode>
                <c:ptCount val="23"/>
                <c:pt idx="0">
                  <c:v>14.869466515323497</c:v>
                </c:pt>
                <c:pt idx="1">
                  <c:v>14.383408071748878</c:v>
                </c:pt>
                <c:pt idx="2">
                  <c:v>14.835886214442013</c:v>
                </c:pt>
                <c:pt idx="3">
                  <c:v>14.50793650793651</c:v>
                </c:pt>
                <c:pt idx="4">
                  <c:v>15.294725956566699</c:v>
                </c:pt>
                <c:pt idx="5">
                  <c:v>15.75</c:v>
                </c:pt>
                <c:pt idx="6">
                  <c:v>15.603448275862068</c:v>
                </c:pt>
                <c:pt idx="7">
                  <c:v>13.871576959395654</c:v>
                </c:pt>
                <c:pt idx="8">
                  <c:v>15.346901017576318</c:v>
                </c:pt>
                <c:pt idx="9">
                  <c:v>15.396260017809439</c:v>
                </c:pt>
                <c:pt idx="10">
                  <c:v>15.911789652247668</c:v>
                </c:pt>
                <c:pt idx="11">
                  <c:v>17.14638157894737</c:v>
                </c:pt>
                <c:pt idx="12">
                  <c:v>17.876543209876541</c:v>
                </c:pt>
                <c:pt idx="13">
                  <c:v>17.8321108394458</c:v>
                </c:pt>
                <c:pt idx="14">
                  <c:v>17.621320604614159</c:v>
                </c:pt>
                <c:pt idx="15">
                  <c:v>17.859952793076317</c:v>
                </c:pt>
                <c:pt idx="16">
                  <c:v>19.47245927075252</c:v>
                </c:pt>
                <c:pt idx="17">
                  <c:v>19.099848714069594</c:v>
                </c:pt>
                <c:pt idx="18">
                  <c:v>20.157068062827225</c:v>
                </c:pt>
                <c:pt idx="19">
                  <c:v>19.289940828402369</c:v>
                </c:pt>
                <c:pt idx="20">
                  <c:v>18.645302257829567</c:v>
                </c:pt>
                <c:pt idx="21">
                  <c:v>18.321479374110954</c:v>
                </c:pt>
                <c:pt idx="22">
                  <c:v>19.57372466806429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43-4F5B-825F-2370009E0672}"/>
            </c:ext>
          </c:extLst>
        </c:ser>
        <c:ser>
          <c:idx val="1"/>
          <c:order val="1"/>
          <c:tx>
            <c:strRef>
              <c:f>Wage130!$G$1</c:f>
              <c:strCache>
                <c:ptCount val="1"/>
                <c:pt idx="0">
                  <c:v>Females(Real)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Wage130!$A$2:$A$24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Wage130!$G$2:$G$24</c:f>
              <c:numCache>
                <c:formatCode>General</c:formatCode>
                <c:ptCount val="23"/>
                <c:pt idx="0">
                  <c:v>12.519863791146426</c:v>
                </c:pt>
                <c:pt idx="1">
                  <c:v>12.847533632286996</c:v>
                </c:pt>
                <c:pt idx="2">
                  <c:v>12.757111597374179</c:v>
                </c:pt>
                <c:pt idx="3">
                  <c:v>12.941798941798943</c:v>
                </c:pt>
                <c:pt idx="4">
                  <c:v>12.63702171664943</c:v>
                </c:pt>
                <c:pt idx="5">
                  <c:v>12.86</c:v>
                </c:pt>
                <c:pt idx="6">
                  <c:v>12.701149425287356</c:v>
                </c:pt>
                <c:pt idx="7">
                  <c:v>12.80453257790368</c:v>
                </c:pt>
                <c:pt idx="8">
                  <c:v>12.802960222016651</c:v>
                </c:pt>
                <c:pt idx="9">
                  <c:v>13.098842386464828</c:v>
                </c:pt>
                <c:pt idx="10">
                  <c:v>14.554707379134859</c:v>
                </c:pt>
                <c:pt idx="11">
                  <c:v>14.046052631578947</c:v>
                </c:pt>
                <c:pt idx="12">
                  <c:v>15.563786008230451</c:v>
                </c:pt>
                <c:pt idx="13">
                  <c:v>16.259168704156476</c:v>
                </c:pt>
                <c:pt idx="14">
                  <c:v>14.645982498011136</c:v>
                </c:pt>
                <c:pt idx="15">
                  <c:v>15.837922895357986</c:v>
                </c:pt>
                <c:pt idx="16">
                  <c:v>15.911559348332039</c:v>
                </c:pt>
                <c:pt idx="17">
                  <c:v>15.325264750378217</c:v>
                </c:pt>
                <c:pt idx="18">
                  <c:v>16.866118175018698</c:v>
                </c:pt>
                <c:pt idx="19">
                  <c:v>17.09319526627219</c:v>
                </c:pt>
                <c:pt idx="20">
                  <c:v>16.21995630007283</c:v>
                </c:pt>
                <c:pt idx="21">
                  <c:v>15.19203413940256</c:v>
                </c:pt>
                <c:pt idx="22">
                  <c:v>17.03004891684137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43-4F5B-825F-2370009E0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517359"/>
        <c:axId val="657749263"/>
      </c:lineChart>
      <c:catAx>
        <c:axId val="1082517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749263"/>
        <c:crosses val="autoZero"/>
        <c:auto val="1"/>
        <c:lblAlgn val="ctr"/>
        <c:lblOffset val="100"/>
        <c:noMultiLvlLbl val="0"/>
      </c:catAx>
      <c:valAx>
        <c:axId val="657749263"/>
        <c:scaling>
          <c:orientation val="minMax"/>
          <c:max val="21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Real Wage (base 2002)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1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Evolution of Real Wage (base 2002)</a:t>
            </a:r>
            <a:endParaRPr lang="en-CA"/>
          </a:p>
        </c:rich>
      </c:tx>
      <c:layout>
        <c:manualLayout>
          <c:xMode val="edge"/>
          <c:yMode val="edge"/>
          <c:x val="0.2094930008748906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Wage130!$F$1</c:f>
              <c:strCache>
                <c:ptCount val="1"/>
                <c:pt idx="0">
                  <c:v>Males(Real)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Wage130!$A$2:$A$24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Wage130!$F$2:$F$24</c:f>
              <c:numCache>
                <c:formatCode>General</c:formatCode>
                <c:ptCount val="23"/>
                <c:pt idx="0">
                  <c:v>14.869466515323497</c:v>
                </c:pt>
                <c:pt idx="1">
                  <c:v>14.383408071748878</c:v>
                </c:pt>
                <c:pt idx="2">
                  <c:v>14.835886214442013</c:v>
                </c:pt>
                <c:pt idx="3">
                  <c:v>14.50793650793651</c:v>
                </c:pt>
                <c:pt idx="4">
                  <c:v>15.294725956566699</c:v>
                </c:pt>
                <c:pt idx="5">
                  <c:v>15.75</c:v>
                </c:pt>
                <c:pt idx="6">
                  <c:v>15.603448275862068</c:v>
                </c:pt>
                <c:pt idx="7">
                  <c:v>13.871576959395654</c:v>
                </c:pt>
                <c:pt idx="8">
                  <c:v>15.346901017576318</c:v>
                </c:pt>
                <c:pt idx="9">
                  <c:v>15.396260017809439</c:v>
                </c:pt>
                <c:pt idx="10">
                  <c:v>15.911789652247668</c:v>
                </c:pt>
                <c:pt idx="11">
                  <c:v>17.14638157894737</c:v>
                </c:pt>
                <c:pt idx="12">
                  <c:v>17.876543209876541</c:v>
                </c:pt>
                <c:pt idx="13">
                  <c:v>17.8321108394458</c:v>
                </c:pt>
                <c:pt idx="14">
                  <c:v>17.621320604614159</c:v>
                </c:pt>
                <c:pt idx="15">
                  <c:v>17.859952793076317</c:v>
                </c:pt>
                <c:pt idx="16">
                  <c:v>19.47245927075252</c:v>
                </c:pt>
                <c:pt idx="17">
                  <c:v>19.099848714069594</c:v>
                </c:pt>
                <c:pt idx="18">
                  <c:v>20.157068062827225</c:v>
                </c:pt>
                <c:pt idx="19">
                  <c:v>19.289940828402369</c:v>
                </c:pt>
                <c:pt idx="20">
                  <c:v>18.645302257829567</c:v>
                </c:pt>
                <c:pt idx="21">
                  <c:v>18.321479374110954</c:v>
                </c:pt>
                <c:pt idx="22">
                  <c:v>19.57372466806429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01-4A3B-84A5-3A63E53D022A}"/>
            </c:ext>
          </c:extLst>
        </c:ser>
        <c:ser>
          <c:idx val="1"/>
          <c:order val="1"/>
          <c:tx>
            <c:strRef>
              <c:f>Wage130!$G$1</c:f>
              <c:strCache>
                <c:ptCount val="1"/>
                <c:pt idx="0">
                  <c:v>Females(Real)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Wage130!$A$2:$A$24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Wage130!$G$2:$G$24</c:f>
              <c:numCache>
                <c:formatCode>General</c:formatCode>
                <c:ptCount val="23"/>
                <c:pt idx="0">
                  <c:v>12.519863791146426</c:v>
                </c:pt>
                <c:pt idx="1">
                  <c:v>12.847533632286996</c:v>
                </c:pt>
                <c:pt idx="2">
                  <c:v>12.757111597374179</c:v>
                </c:pt>
                <c:pt idx="3">
                  <c:v>12.941798941798943</c:v>
                </c:pt>
                <c:pt idx="4">
                  <c:v>12.63702171664943</c:v>
                </c:pt>
                <c:pt idx="5">
                  <c:v>12.86</c:v>
                </c:pt>
                <c:pt idx="6">
                  <c:v>12.701149425287356</c:v>
                </c:pt>
                <c:pt idx="7">
                  <c:v>12.80453257790368</c:v>
                </c:pt>
                <c:pt idx="8">
                  <c:v>12.802960222016651</c:v>
                </c:pt>
                <c:pt idx="9">
                  <c:v>13.098842386464828</c:v>
                </c:pt>
                <c:pt idx="10">
                  <c:v>14.554707379134859</c:v>
                </c:pt>
                <c:pt idx="11">
                  <c:v>14.046052631578947</c:v>
                </c:pt>
                <c:pt idx="12">
                  <c:v>15.563786008230451</c:v>
                </c:pt>
                <c:pt idx="13">
                  <c:v>16.259168704156476</c:v>
                </c:pt>
                <c:pt idx="14">
                  <c:v>14.645982498011136</c:v>
                </c:pt>
                <c:pt idx="15">
                  <c:v>15.837922895357986</c:v>
                </c:pt>
                <c:pt idx="16">
                  <c:v>15.911559348332039</c:v>
                </c:pt>
                <c:pt idx="17">
                  <c:v>15.325264750378217</c:v>
                </c:pt>
                <c:pt idx="18">
                  <c:v>16.866118175018698</c:v>
                </c:pt>
                <c:pt idx="19">
                  <c:v>17.09319526627219</c:v>
                </c:pt>
                <c:pt idx="20">
                  <c:v>16.21995630007283</c:v>
                </c:pt>
                <c:pt idx="21">
                  <c:v>15.19203413940256</c:v>
                </c:pt>
                <c:pt idx="22">
                  <c:v>17.03004891684137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01-4A3B-84A5-3A63E53D022A}"/>
            </c:ext>
          </c:extLst>
        </c:ser>
        <c:ser>
          <c:idx val="2"/>
          <c:order val="2"/>
          <c:tx>
            <c:strRef>
              <c:f>Wage130!$H$1</c:f>
              <c:strCache>
                <c:ptCount val="1"/>
                <c:pt idx="0">
                  <c:v>Trend(Real Male)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Wage130!$A$2:$A$24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Wage130!$H$2:$H$24</c:f>
              <c:numCache>
                <c:formatCode>General</c:formatCode>
                <c:ptCount val="23"/>
                <c:pt idx="0">
                  <c:v>13.999000376155323</c:v>
                </c:pt>
                <c:pt idx="1">
                  <c:v>14.26259928026343</c:v>
                </c:pt>
                <c:pt idx="2">
                  <c:v>14.526198184371538</c:v>
                </c:pt>
                <c:pt idx="3">
                  <c:v>14.789797088479645</c:v>
                </c:pt>
                <c:pt idx="4">
                  <c:v>15.053395992587753</c:v>
                </c:pt>
                <c:pt idx="5">
                  <c:v>15.31699489669586</c:v>
                </c:pt>
                <c:pt idx="6">
                  <c:v>15.580593800803967</c:v>
                </c:pt>
                <c:pt idx="7">
                  <c:v>15.844192704912075</c:v>
                </c:pt>
                <c:pt idx="8">
                  <c:v>16.107791609020296</c:v>
                </c:pt>
                <c:pt idx="9">
                  <c:v>16.371390513128404</c:v>
                </c:pt>
                <c:pt idx="10">
                  <c:v>16.634989417236511</c:v>
                </c:pt>
                <c:pt idx="11">
                  <c:v>16.898588321344619</c:v>
                </c:pt>
                <c:pt idx="12">
                  <c:v>17.162187225452726</c:v>
                </c:pt>
                <c:pt idx="13">
                  <c:v>17.425786129560834</c:v>
                </c:pt>
                <c:pt idx="14">
                  <c:v>17.689385033668941</c:v>
                </c:pt>
                <c:pt idx="15">
                  <c:v>17.952983937777049</c:v>
                </c:pt>
                <c:pt idx="16">
                  <c:v>18.216582841885156</c:v>
                </c:pt>
                <c:pt idx="17">
                  <c:v>18.480181745993264</c:v>
                </c:pt>
                <c:pt idx="18">
                  <c:v>18.743780650101371</c:v>
                </c:pt>
                <c:pt idx="19">
                  <c:v>19.007379554209592</c:v>
                </c:pt>
                <c:pt idx="20">
                  <c:v>19.2709784583177</c:v>
                </c:pt>
                <c:pt idx="21">
                  <c:v>19.534577362425807</c:v>
                </c:pt>
                <c:pt idx="22">
                  <c:v>19.798176266533915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201-4A3B-84A5-3A63E53D022A}"/>
            </c:ext>
          </c:extLst>
        </c:ser>
        <c:ser>
          <c:idx val="3"/>
          <c:order val="3"/>
          <c:tx>
            <c:strRef>
              <c:f>Wage130!$I$1</c:f>
              <c:strCache>
                <c:ptCount val="1"/>
                <c:pt idx="0">
                  <c:v>Trend(Real Female)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Wage130!$A$2:$A$24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cat>
          <c:val>
            <c:numRef>
              <c:f>Wage130!$I$2:$I$24</c:f>
              <c:numCache>
                <c:formatCode>General</c:formatCode>
                <c:ptCount val="23"/>
                <c:pt idx="0">
                  <c:v>12.034706066876424</c:v>
                </c:pt>
                <c:pt idx="1">
                  <c:v>12.254936785317398</c:v>
                </c:pt>
                <c:pt idx="2">
                  <c:v>12.475167503758314</c:v>
                </c:pt>
                <c:pt idx="3">
                  <c:v>12.695398222199287</c:v>
                </c:pt>
                <c:pt idx="4">
                  <c:v>12.915628940640204</c:v>
                </c:pt>
                <c:pt idx="5">
                  <c:v>13.13585965908112</c:v>
                </c:pt>
                <c:pt idx="6">
                  <c:v>13.356090377522094</c:v>
                </c:pt>
                <c:pt idx="7">
                  <c:v>13.57632109596301</c:v>
                </c:pt>
                <c:pt idx="8">
                  <c:v>13.796551814403983</c:v>
                </c:pt>
                <c:pt idx="9">
                  <c:v>14.0167825328449</c:v>
                </c:pt>
                <c:pt idx="10">
                  <c:v>14.237013251285816</c:v>
                </c:pt>
                <c:pt idx="11">
                  <c:v>14.45724396972679</c:v>
                </c:pt>
                <c:pt idx="12">
                  <c:v>14.677474688167706</c:v>
                </c:pt>
                <c:pt idx="13">
                  <c:v>14.897705406608679</c:v>
                </c:pt>
                <c:pt idx="14">
                  <c:v>15.117936125049596</c:v>
                </c:pt>
                <c:pt idx="15">
                  <c:v>15.338166843490512</c:v>
                </c:pt>
                <c:pt idx="16">
                  <c:v>15.558397561931486</c:v>
                </c:pt>
                <c:pt idx="17">
                  <c:v>15.778628280372402</c:v>
                </c:pt>
                <c:pt idx="18">
                  <c:v>15.998858998813375</c:v>
                </c:pt>
                <c:pt idx="19">
                  <c:v>16.219089717254292</c:v>
                </c:pt>
                <c:pt idx="20">
                  <c:v>16.439320435695208</c:v>
                </c:pt>
                <c:pt idx="21">
                  <c:v>16.659551154136182</c:v>
                </c:pt>
                <c:pt idx="22">
                  <c:v>16.879781872577098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201-4A3B-84A5-3A63E53D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517359"/>
        <c:axId val="657749263"/>
      </c:lineChart>
      <c:catAx>
        <c:axId val="1082517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749263"/>
        <c:crosses val="autoZero"/>
        <c:auto val="1"/>
        <c:lblAlgn val="ctr"/>
        <c:lblOffset val="100"/>
        <c:noMultiLvlLbl val="0"/>
      </c:catAx>
      <c:valAx>
        <c:axId val="657749263"/>
        <c:scaling>
          <c:orientation val="minMax"/>
          <c:max val="21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Real Wage (base 2002)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1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Cycle Real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8"/>
          <c:order val="8"/>
          <c:tx>
            <c:strRef>
              <c:f>Wage130!$J$1</c:f>
              <c:strCache>
                <c:ptCount val="1"/>
                <c:pt idx="0">
                  <c:v>Detrend(Male)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Wage130!$A$2:$A$24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xVal>
          <c:yVal>
            <c:numRef>
              <c:f>Wage130!$J$2:$J$24</c:f>
              <c:numCache>
                <c:formatCode>General</c:formatCode>
                <c:ptCount val="23"/>
                <c:pt idx="0">
                  <c:v>0.87046613916817428</c:v>
                </c:pt>
                <c:pt idx="1">
                  <c:v>0.1208087914854481</c:v>
                </c:pt>
                <c:pt idx="2">
                  <c:v>0.30968803007047541</c:v>
                </c:pt>
                <c:pt idx="3">
                  <c:v>-0.28186058054313534</c:v>
                </c:pt>
                <c:pt idx="4">
                  <c:v>0.24132996397894679</c:v>
                </c:pt>
                <c:pt idx="5">
                  <c:v>0.43300510330413999</c:v>
                </c:pt>
                <c:pt idx="6">
                  <c:v>2.2854475058100121E-2</c:v>
                </c:pt>
                <c:pt idx="7">
                  <c:v>-1.9726157455164213</c:v>
                </c:pt>
                <c:pt idx="8">
                  <c:v>-0.76089059144397808</c:v>
                </c:pt>
                <c:pt idx="9">
                  <c:v>-0.97513049531896456</c:v>
                </c:pt>
                <c:pt idx="10">
                  <c:v>-0.72319976498884309</c:v>
                </c:pt>
                <c:pt idx="11">
                  <c:v>0.24779325760275128</c:v>
                </c:pt>
                <c:pt idx="12">
                  <c:v>0.71435598442381476</c:v>
                </c:pt>
                <c:pt idx="13">
                  <c:v>0.4063247098849665</c:v>
                </c:pt>
                <c:pt idx="14">
                  <c:v>-6.8064429054782494E-2</c:v>
                </c:pt>
                <c:pt idx="15">
                  <c:v>-9.3031144700731261E-2</c:v>
                </c:pt>
                <c:pt idx="16">
                  <c:v>1.2558764288673636</c:v>
                </c:pt>
                <c:pt idx="17">
                  <c:v>0.6196669680763307</c:v>
                </c:pt>
                <c:pt idx="18">
                  <c:v>1.4132874127258539</c:v>
                </c:pt>
                <c:pt idx="19">
                  <c:v>0.28256127419277632</c:v>
                </c:pt>
                <c:pt idx="20">
                  <c:v>-0.62567620048813311</c:v>
                </c:pt>
                <c:pt idx="21">
                  <c:v>-1.2130979883148534</c:v>
                </c:pt>
                <c:pt idx="22">
                  <c:v>-0.22445159846962426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17E-4E6D-A211-58AAD6CE7669}"/>
            </c:ext>
          </c:extLst>
        </c:ser>
        <c:ser>
          <c:idx val="9"/>
          <c:order val="9"/>
          <c:tx>
            <c:strRef>
              <c:f>Wage130!$K$1</c:f>
              <c:strCache>
                <c:ptCount val="1"/>
                <c:pt idx="0">
                  <c:v>Detrend(Female)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Wage130!$A$2:$A$24</c:f>
              <c:numCache>
                <c:formatCode>General</c:formatCode>
                <c:ptCount val="23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</c:numCache>
            </c:numRef>
          </c:xVal>
          <c:yVal>
            <c:numRef>
              <c:f>Wage130!$K$2:$K$24</c:f>
              <c:numCache>
                <c:formatCode>General</c:formatCode>
                <c:ptCount val="23"/>
                <c:pt idx="0">
                  <c:v>0.48515772427000137</c:v>
                </c:pt>
                <c:pt idx="1">
                  <c:v>0.5925968469695988</c:v>
                </c:pt>
                <c:pt idx="2">
                  <c:v>0.28194409361586459</c:v>
                </c:pt>
                <c:pt idx="3">
                  <c:v>0.24640071959965582</c:v>
                </c:pt>
                <c:pt idx="4">
                  <c:v>-0.27860722399077353</c:v>
                </c:pt>
                <c:pt idx="5">
                  <c:v>-0.27585965908112087</c:v>
                </c:pt>
                <c:pt idx="6">
                  <c:v>-0.65494095223473714</c:v>
                </c:pt>
                <c:pt idx="7">
                  <c:v>-0.77178851805932958</c:v>
                </c:pt>
                <c:pt idx="8">
                  <c:v>-0.99359159238733241</c:v>
                </c:pt>
                <c:pt idx="9">
                  <c:v>-0.91794014638007226</c:v>
                </c:pt>
                <c:pt idx="10">
                  <c:v>0.31769412784904283</c:v>
                </c:pt>
                <c:pt idx="11">
                  <c:v>-0.4111913381478427</c:v>
                </c:pt>
                <c:pt idx="12">
                  <c:v>0.88631132006274527</c:v>
                </c:pt>
                <c:pt idx="13">
                  <c:v>1.3614632975477967</c:v>
                </c:pt>
                <c:pt idx="14">
                  <c:v>-0.47195362703845944</c:v>
                </c:pt>
                <c:pt idx="15">
                  <c:v>0.49975605186747352</c:v>
                </c:pt>
                <c:pt idx="16">
                  <c:v>0.35316178640055362</c:v>
                </c:pt>
                <c:pt idx="17">
                  <c:v>-0.45336352999418494</c:v>
                </c:pt>
                <c:pt idx="18">
                  <c:v>0.867259176205323</c:v>
                </c:pt>
                <c:pt idx="19">
                  <c:v>0.87410554901789794</c:v>
                </c:pt>
                <c:pt idx="20">
                  <c:v>-0.21936413562237789</c:v>
                </c:pt>
                <c:pt idx="21">
                  <c:v>-1.4675170147336214</c:v>
                </c:pt>
                <c:pt idx="22">
                  <c:v>0.15026704426427173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17E-4E6D-A211-58AAD6CE7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1011248"/>
        <c:axId val="10910233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Wage130!$B$1</c15:sqref>
                        </c15:formulaRef>
                      </c:ext>
                    </c:extLst>
                    <c:strCache>
                      <c:ptCount val="1"/>
                      <c:pt idx="0">
                        <c:v>DecDate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Wage130!$A$2:$A$24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1997</c:v>
                      </c:pt>
                      <c:pt idx="1">
                        <c:v>1998</c:v>
                      </c:pt>
                      <c:pt idx="2">
                        <c:v>1999</c:v>
                      </c:pt>
                      <c:pt idx="3">
                        <c:v>2000</c:v>
                      </c:pt>
                      <c:pt idx="4">
                        <c:v>2001</c:v>
                      </c:pt>
                      <c:pt idx="5">
                        <c:v>2002</c:v>
                      </c:pt>
                      <c:pt idx="6">
                        <c:v>2003</c:v>
                      </c:pt>
                      <c:pt idx="7">
                        <c:v>2004</c:v>
                      </c:pt>
                      <c:pt idx="8">
                        <c:v>2005</c:v>
                      </c:pt>
                      <c:pt idx="9">
                        <c:v>2006</c:v>
                      </c:pt>
                      <c:pt idx="10">
                        <c:v>2007</c:v>
                      </c:pt>
                      <c:pt idx="11">
                        <c:v>2008</c:v>
                      </c:pt>
                      <c:pt idx="12">
                        <c:v>2009</c:v>
                      </c:pt>
                      <c:pt idx="13">
                        <c:v>2010</c:v>
                      </c:pt>
                      <c:pt idx="14">
                        <c:v>2011</c:v>
                      </c:pt>
                      <c:pt idx="15">
                        <c:v>2012</c:v>
                      </c:pt>
                      <c:pt idx="16">
                        <c:v>2013</c:v>
                      </c:pt>
                      <c:pt idx="17">
                        <c:v>2014</c:v>
                      </c:pt>
                      <c:pt idx="18">
                        <c:v>2015</c:v>
                      </c:pt>
                      <c:pt idx="19">
                        <c:v>2016</c:v>
                      </c:pt>
                      <c:pt idx="20">
                        <c:v>2017</c:v>
                      </c:pt>
                      <c:pt idx="21">
                        <c:v>2018</c:v>
                      </c:pt>
                      <c:pt idx="22">
                        <c:v>2019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Wage130!$B$2:$B$24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1997.5</c:v>
                      </c:pt>
                      <c:pt idx="1">
                        <c:v>1998.5</c:v>
                      </c:pt>
                      <c:pt idx="2">
                        <c:v>1999.5</c:v>
                      </c:pt>
                      <c:pt idx="3">
                        <c:v>2000.5</c:v>
                      </c:pt>
                      <c:pt idx="4">
                        <c:v>2001.5</c:v>
                      </c:pt>
                      <c:pt idx="5">
                        <c:v>2002.5</c:v>
                      </c:pt>
                      <c:pt idx="6">
                        <c:v>2003.5</c:v>
                      </c:pt>
                      <c:pt idx="7">
                        <c:v>2004.5</c:v>
                      </c:pt>
                      <c:pt idx="8">
                        <c:v>2005.5</c:v>
                      </c:pt>
                      <c:pt idx="9">
                        <c:v>2006.5</c:v>
                      </c:pt>
                      <c:pt idx="10">
                        <c:v>2007.5</c:v>
                      </c:pt>
                      <c:pt idx="11">
                        <c:v>2008.5</c:v>
                      </c:pt>
                      <c:pt idx="12">
                        <c:v>2009.5</c:v>
                      </c:pt>
                      <c:pt idx="13">
                        <c:v>2010.5</c:v>
                      </c:pt>
                      <c:pt idx="14">
                        <c:v>2011.5</c:v>
                      </c:pt>
                      <c:pt idx="15">
                        <c:v>2012.5</c:v>
                      </c:pt>
                      <c:pt idx="16">
                        <c:v>2013.5</c:v>
                      </c:pt>
                      <c:pt idx="17">
                        <c:v>2014.5</c:v>
                      </c:pt>
                      <c:pt idx="18">
                        <c:v>2015.5</c:v>
                      </c:pt>
                      <c:pt idx="19">
                        <c:v>2016.5</c:v>
                      </c:pt>
                      <c:pt idx="20">
                        <c:v>2017.5</c:v>
                      </c:pt>
                      <c:pt idx="21">
                        <c:v>2018.5</c:v>
                      </c:pt>
                      <c:pt idx="22">
                        <c:v>2019.5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17E-4E6D-A211-58AAD6CE766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Wage130!$C$1</c15:sqref>
                        </c15:formulaRef>
                      </c:ext>
                    </c:extLst>
                    <c:strCache>
                      <c:ptCount val="1"/>
                      <c:pt idx="0">
                        <c:v>Males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Wage130!$A$2:$A$24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1997</c:v>
                      </c:pt>
                      <c:pt idx="1">
                        <c:v>1998</c:v>
                      </c:pt>
                      <c:pt idx="2">
                        <c:v>1999</c:v>
                      </c:pt>
                      <c:pt idx="3">
                        <c:v>2000</c:v>
                      </c:pt>
                      <c:pt idx="4">
                        <c:v>2001</c:v>
                      </c:pt>
                      <c:pt idx="5">
                        <c:v>2002</c:v>
                      </c:pt>
                      <c:pt idx="6">
                        <c:v>2003</c:v>
                      </c:pt>
                      <c:pt idx="7">
                        <c:v>2004</c:v>
                      </c:pt>
                      <c:pt idx="8">
                        <c:v>2005</c:v>
                      </c:pt>
                      <c:pt idx="9">
                        <c:v>2006</c:v>
                      </c:pt>
                      <c:pt idx="10">
                        <c:v>2007</c:v>
                      </c:pt>
                      <c:pt idx="11">
                        <c:v>2008</c:v>
                      </c:pt>
                      <c:pt idx="12">
                        <c:v>2009</c:v>
                      </c:pt>
                      <c:pt idx="13">
                        <c:v>2010</c:v>
                      </c:pt>
                      <c:pt idx="14">
                        <c:v>2011</c:v>
                      </c:pt>
                      <c:pt idx="15">
                        <c:v>2012</c:v>
                      </c:pt>
                      <c:pt idx="16">
                        <c:v>2013</c:v>
                      </c:pt>
                      <c:pt idx="17">
                        <c:v>2014</c:v>
                      </c:pt>
                      <c:pt idx="18">
                        <c:v>2015</c:v>
                      </c:pt>
                      <c:pt idx="19">
                        <c:v>2016</c:v>
                      </c:pt>
                      <c:pt idx="20">
                        <c:v>2017</c:v>
                      </c:pt>
                      <c:pt idx="21">
                        <c:v>2018</c:v>
                      </c:pt>
                      <c:pt idx="22">
                        <c:v>2019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Wage130!$C$2:$C$24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13.1</c:v>
                      </c:pt>
                      <c:pt idx="1">
                        <c:v>12.83</c:v>
                      </c:pt>
                      <c:pt idx="2">
                        <c:v>13.56</c:v>
                      </c:pt>
                      <c:pt idx="3">
                        <c:v>13.71</c:v>
                      </c:pt>
                      <c:pt idx="4">
                        <c:v>14.79</c:v>
                      </c:pt>
                      <c:pt idx="5">
                        <c:v>15.75</c:v>
                      </c:pt>
                      <c:pt idx="6">
                        <c:v>16.29</c:v>
                      </c:pt>
                      <c:pt idx="7">
                        <c:v>14.69</c:v>
                      </c:pt>
                      <c:pt idx="8">
                        <c:v>16.59</c:v>
                      </c:pt>
                      <c:pt idx="9">
                        <c:v>17.29</c:v>
                      </c:pt>
                      <c:pt idx="10">
                        <c:v>18.760000000000002</c:v>
                      </c:pt>
                      <c:pt idx="11">
                        <c:v>20.85</c:v>
                      </c:pt>
                      <c:pt idx="12">
                        <c:v>21.72</c:v>
                      </c:pt>
                      <c:pt idx="13">
                        <c:v>21.88</c:v>
                      </c:pt>
                      <c:pt idx="14">
                        <c:v>22.15</c:v>
                      </c:pt>
                      <c:pt idx="15">
                        <c:v>22.7</c:v>
                      </c:pt>
                      <c:pt idx="16">
                        <c:v>25.1</c:v>
                      </c:pt>
                      <c:pt idx="17">
                        <c:v>25.25</c:v>
                      </c:pt>
                      <c:pt idx="18">
                        <c:v>26.95</c:v>
                      </c:pt>
                      <c:pt idx="19">
                        <c:v>26.08</c:v>
                      </c:pt>
                      <c:pt idx="20">
                        <c:v>25.6</c:v>
                      </c:pt>
                      <c:pt idx="21">
                        <c:v>25.76</c:v>
                      </c:pt>
                      <c:pt idx="22">
                        <c:v>28.01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17E-4E6D-A211-58AAD6CE766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Wage130!$D$1</c15:sqref>
                        </c15:formulaRef>
                      </c:ext>
                    </c:extLst>
                    <c:strCache>
                      <c:ptCount val="1"/>
                      <c:pt idx="0">
                        <c:v>Females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Wage130!$A$2:$A$24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1997</c:v>
                      </c:pt>
                      <c:pt idx="1">
                        <c:v>1998</c:v>
                      </c:pt>
                      <c:pt idx="2">
                        <c:v>1999</c:v>
                      </c:pt>
                      <c:pt idx="3">
                        <c:v>2000</c:v>
                      </c:pt>
                      <c:pt idx="4">
                        <c:v>2001</c:v>
                      </c:pt>
                      <c:pt idx="5">
                        <c:v>2002</c:v>
                      </c:pt>
                      <c:pt idx="6">
                        <c:v>2003</c:v>
                      </c:pt>
                      <c:pt idx="7">
                        <c:v>2004</c:v>
                      </c:pt>
                      <c:pt idx="8">
                        <c:v>2005</c:v>
                      </c:pt>
                      <c:pt idx="9">
                        <c:v>2006</c:v>
                      </c:pt>
                      <c:pt idx="10">
                        <c:v>2007</c:v>
                      </c:pt>
                      <c:pt idx="11">
                        <c:v>2008</c:v>
                      </c:pt>
                      <c:pt idx="12">
                        <c:v>2009</c:v>
                      </c:pt>
                      <c:pt idx="13">
                        <c:v>2010</c:v>
                      </c:pt>
                      <c:pt idx="14">
                        <c:v>2011</c:v>
                      </c:pt>
                      <c:pt idx="15">
                        <c:v>2012</c:v>
                      </c:pt>
                      <c:pt idx="16">
                        <c:v>2013</c:v>
                      </c:pt>
                      <c:pt idx="17">
                        <c:v>2014</c:v>
                      </c:pt>
                      <c:pt idx="18">
                        <c:v>2015</c:v>
                      </c:pt>
                      <c:pt idx="19">
                        <c:v>2016</c:v>
                      </c:pt>
                      <c:pt idx="20">
                        <c:v>2017</c:v>
                      </c:pt>
                      <c:pt idx="21">
                        <c:v>2018</c:v>
                      </c:pt>
                      <c:pt idx="22">
                        <c:v>2019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Wage130!$D$2:$D$24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11.03</c:v>
                      </c:pt>
                      <c:pt idx="1">
                        <c:v>11.46</c:v>
                      </c:pt>
                      <c:pt idx="2">
                        <c:v>11.66</c:v>
                      </c:pt>
                      <c:pt idx="3">
                        <c:v>12.23</c:v>
                      </c:pt>
                      <c:pt idx="4">
                        <c:v>12.22</c:v>
                      </c:pt>
                      <c:pt idx="5">
                        <c:v>12.86</c:v>
                      </c:pt>
                      <c:pt idx="6">
                        <c:v>13.26</c:v>
                      </c:pt>
                      <c:pt idx="7">
                        <c:v>13.56</c:v>
                      </c:pt>
                      <c:pt idx="8">
                        <c:v>13.84</c:v>
                      </c:pt>
                      <c:pt idx="9">
                        <c:v>14.71</c:v>
                      </c:pt>
                      <c:pt idx="10">
                        <c:v>17.16</c:v>
                      </c:pt>
                      <c:pt idx="11">
                        <c:v>17.079999999999998</c:v>
                      </c:pt>
                      <c:pt idx="12">
                        <c:v>18.91</c:v>
                      </c:pt>
                      <c:pt idx="13">
                        <c:v>19.95</c:v>
                      </c:pt>
                      <c:pt idx="14">
                        <c:v>18.41</c:v>
                      </c:pt>
                      <c:pt idx="15">
                        <c:v>20.13</c:v>
                      </c:pt>
                      <c:pt idx="16">
                        <c:v>20.51</c:v>
                      </c:pt>
                      <c:pt idx="17">
                        <c:v>20.260000000000002</c:v>
                      </c:pt>
                      <c:pt idx="18">
                        <c:v>22.55</c:v>
                      </c:pt>
                      <c:pt idx="19">
                        <c:v>23.11</c:v>
                      </c:pt>
                      <c:pt idx="20">
                        <c:v>22.27</c:v>
                      </c:pt>
                      <c:pt idx="21">
                        <c:v>21.36</c:v>
                      </c:pt>
                      <c:pt idx="22">
                        <c:v>24.37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17E-4E6D-A211-58AAD6CE766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Wage130!$E$1</c15:sqref>
                        </c15:formulaRef>
                      </c:ext>
                    </c:extLst>
                    <c:strCache>
                      <c:ptCount val="1"/>
                      <c:pt idx="0">
                        <c:v>CPI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Wage130!$A$2:$A$24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1997</c:v>
                      </c:pt>
                      <c:pt idx="1">
                        <c:v>1998</c:v>
                      </c:pt>
                      <c:pt idx="2">
                        <c:v>1999</c:v>
                      </c:pt>
                      <c:pt idx="3">
                        <c:v>2000</c:v>
                      </c:pt>
                      <c:pt idx="4">
                        <c:v>2001</c:v>
                      </c:pt>
                      <c:pt idx="5">
                        <c:v>2002</c:v>
                      </c:pt>
                      <c:pt idx="6">
                        <c:v>2003</c:v>
                      </c:pt>
                      <c:pt idx="7">
                        <c:v>2004</c:v>
                      </c:pt>
                      <c:pt idx="8">
                        <c:v>2005</c:v>
                      </c:pt>
                      <c:pt idx="9">
                        <c:v>2006</c:v>
                      </c:pt>
                      <c:pt idx="10">
                        <c:v>2007</c:v>
                      </c:pt>
                      <c:pt idx="11">
                        <c:v>2008</c:v>
                      </c:pt>
                      <c:pt idx="12">
                        <c:v>2009</c:v>
                      </c:pt>
                      <c:pt idx="13">
                        <c:v>2010</c:v>
                      </c:pt>
                      <c:pt idx="14">
                        <c:v>2011</c:v>
                      </c:pt>
                      <c:pt idx="15">
                        <c:v>2012</c:v>
                      </c:pt>
                      <c:pt idx="16">
                        <c:v>2013</c:v>
                      </c:pt>
                      <c:pt idx="17">
                        <c:v>2014</c:v>
                      </c:pt>
                      <c:pt idx="18">
                        <c:v>2015</c:v>
                      </c:pt>
                      <c:pt idx="19">
                        <c:v>2016</c:v>
                      </c:pt>
                      <c:pt idx="20">
                        <c:v>2017</c:v>
                      </c:pt>
                      <c:pt idx="21">
                        <c:v>2018</c:v>
                      </c:pt>
                      <c:pt idx="22">
                        <c:v>2019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Wage130!$E$2:$E$24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88.1</c:v>
                      </c:pt>
                      <c:pt idx="1">
                        <c:v>89.2</c:v>
                      </c:pt>
                      <c:pt idx="2">
                        <c:v>91.4</c:v>
                      </c:pt>
                      <c:pt idx="3">
                        <c:v>94.5</c:v>
                      </c:pt>
                      <c:pt idx="4">
                        <c:v>96.7</c:v>
                      </c:pt>
                      <c:pt idx="5">
                        <c:v>100</c:v>
                      </c:pt>
                      <c:pt idx="6">
                        <c:v>104.4</c:v>
                      </c:pt>
                      <c:pt idx="7">
                        <c:v>105.9</c:v>
                      </c:pt>
                      <c:pt idx="8">
                        <c:v>108.1</c:v>
                      </c:pt>
                      <c:pt idx="9">
                        <c:v>112.3</c:v>
                      </c:pt>
                      <c:pt idx="10">
                        <c:v>117.9</c:v>
                      </c:pt>
                      <c:pt idx="11">
                        <c:v>121.6</c:v>
                      </c:pt>
                      <c:pt idx="12">
                        <c:v>121.5</c:v>
                      </c:pt>
                      <c:pt idx="13">
                        <c:v>122.7</c:v>
                      </c:pt>
                      <c:pt idx="14">
                        <c:v>125.7</c:v>
                      </c:pt>
                      <c:pt idx="15">
                        <c:v>127.1</c:v>
                      </c:pt>
                      <c:pt idx="16">
                        <c:v>128.9</c:v>
                      </c:pt>
                      <c:pt idx="17">
                        <c:v>132.19999999999999</c:v>
                      </c:pt>
                      <c:pt idx="18">
                        <c:v>133.69999999999999</c:v>
                      </c:pt>
                      <c:pt idx="19">
                        <c:v>135.19999999999999</c:v>
                      </c:pt>
                      <c:pt idx="20">
                        <c:v>137.30000000000001</c:v>
                      </c:pt>
                      <c:pt idx="21">
                        <c:v>140.6</c:v>
                      </c:pt>
                      <c:pt idx="22">
                        <c:v>143.1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17E-4E6D-A211-58AAD6CE7669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Wage130!$F$1</c15:sqref>
                        </c15:formulaRef>
                      </c:ext>
                    </c:extLst>
                    <c:strCache>
                      <c:ptCount val="1"/>
                      <c:pt idx="0">
                        <c:v>Males(Real)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Wage130!$A$2:$A$24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1997</c:v>
                      </c:pt>
                      <c:pt idx="1">
                        <c:v>1998</c:v>
                      </c:pt>
                      <c:pt idx="2">
                        <c:v>1999</c:v>
                      </c:pt>
                      <c:pt idx="3">
                        <c:v>2000</c:v>
                      </c:pt>
                      <c:pt idx="4">
                        <c:v>2001</c:v>
                      </c:pt>
                      <c:pt idx="5">
                        <c:v>2002</c:v>
                      </c:pt>
                      <c:pt idx="6">
                        <c:v>2003</c:v>
                      </c:pt>
                      <c:pt idx="7">
                        <c:v>2004</c:v>
                      </c:pt>
                      <c:pt idx="8">
                        <c:v>2005</c:v>
                      </c:pt>
                      <c:pt idx="9">
                        <c:v>2006</c:v>
                      </c:pt>
                      <c:pt idx="10">
                        <c:v>2007</c:v>
                      </c:pt>
                      <c:pt idx="11">
                        <c:v>2008</c:v>
                      </c:pt>
                      <c:pt idx="12">
                        <c:v>2009</c:v>
                      </c:pt>
                      <c:pt idx="13">
                        <c:v>2010</c:v>
                      </c:pt>
                      <c:pt idx="14">
                        <c:v>2011</c:v>
                      </c:pt>
                      <c:pt idx="15">
                        <c:v>2012</c:v>
                      </c:pt>
                      <c:pt idx="16">
                        <c:v>2013</c:v>
                      </c:pt>
                      <c:pt idx="17">
                        <c:v>2014</c:v>
                      </c:pt>
                      <c:pt idx="18">
                        <c:v>2015</c:v>
                      </c:pt>
                      <c:pt idx="19">
                        <c:v>2016</c:v>
                      </c:pt>
                      <c:pt idx="20">
                        <c:v>2017</c:v>
                      </c:pt>
                      <c:pt idx="21">
                        <c:v>2018</c:v>
                      </c:pt>
                      <c:pt idx="22">
                        <c:v>2019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Wage130!$F$2:$F$24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14.869466515323497</c:v>
                      </c:pt>
                      <c:pt idx="1">
                        <c:v>14.383408071748878</c:v>
                      </c:pt>
                      <c:pt idx="2">
                        <c:v>14.835886214442013</c:v>
                      </c:pt>
                      <c:pt idx="3">
                        <c:v>14.50793650793651</c:v>
                      </c:pt>
                      <c:pt idx="4">
                        <c:v>15.294725956566699</c:v>
                      </c:pt>
                      <c:pt idx="5">
                        <c:v>15.75</c:v>
                      </c:pt>
                      <c:pt idx="6">
                        <c:v>15.603448275862068</c:v>
                      </c:pt>
                      <c:pt idx="7">
                        <c:v>13.871576959395654</c:v>
                      </c:pt>
                      <c:pt idx="8">
                        <c:v>15.346901017576318</c:v>
                      </c:pt>
                      <c:pt idx="9">
                        <c:v>15.396260017809439</c:v>
                      </c:pt>
                      <c:pt idx="10">
                        <c:v>15.911789652247668</c:v>
                      </c:pt>
                      <c:pt idx="11">
                        <c:v>17.14638157894737</c:v>
                      </c:pt>
                      <c:pt idx="12">
                        <c:v>17.876543209876541</c:v>
                      </c:pt>
                      <c:pt idx="13">
                        <c:v>17.8321108394458</c:v>
                      </c:pt>
                      <c:pt idx="14">
                        <c:v>17.621320604614159</c:v>
                      </c:pt>
                      <c:pt idx="15">
                        <c:v>17.859952793076317</c:v>
                      </c:pt>
                      <c:pt idx="16">
                        <c:v>19.47245927075252</c:v>
                      </c:pt>
                      <c:pt idx="17">
                        <c:v>19.099848714069594</c:v>
                      </c:pt>
                      <c:pt idx="18">
                        <c:v>20.157068062827225</c:v>
                      </c:pt>
                      <c:pt idx="19">
                        <c:v>19.289940828402369</c:v>
                      </c:pt>
                      <c:pt idx="20">
                        <c:v>18.645302257829567</c:v>
                      </c:pt>
                      <c:pt idx="21">
                        <c:v>18.321479374110954</c:v>
                      </c:pt>
                      <c:pt idx="22">
                        <c:v>19.57372466806429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17E-4E6D-A211-58AAD6CE7669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Wage130!$G$1</c15:sqref>
                        </c15:formulaRef>
                      </c:ext>
                    </c:extLst>
                    <c:strCache>
                      <c:ptCount val="1"/>
                      <c:pt idx="0">
                        <c:v>Females(Real)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Wage130!$A$2:$A$24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1997</c:v>
                      </c:pt>
                      <c:pt idx="1">
                        <c:v>1998</c:v>
                      </c:pt>
                      <c:pt idx="2">
                        <c:v>1999</c:v>
                      </c:pt>
                      <c:pt idx="3">
                        <c:v>2000</c:v>
                      </c:pt>
                      <c:pt idx="4">
                        <c:v>2001</c:v>
                      </c:pt>
                      <c:pt idx="5">
                        <c:v>2002</c:v>
                      </c:pt>
                      <c:pt idx="6">
                        <c:v>2003</c:v>
                      </c:pt>
                      <c:pt idx="7">
                        <c:v>2004</c:v>
                      </c:pt>
                      <c:pt idx="8">
                        <c:v>2005</c:v>
                      </c:pt>
                      <c:pt idx="9">
                        <c:v>2006</c:v>
                      </c:pt>
                      <c:pt idx="10">
                        <c:v>2007</c:v>
                      </c:pt>
                      <c:pt idx="11">
                        <c:v>2008</c:v>
                      </c:pt>
                      <c:pt idx="12">
                        <c:v>2009</c:v>
                      </c:pt>
                      <c:pt idx="13">
                        <c:v>2010</c:v>
                      </c:pt>
                      <c:pt idx="14">
                        <c:v>2011</c:v>
                      </c:pt>
                      <c:pt idx="15">
                        <c:v>2012</c:v>
                      </c:pt>
                      <c:pt idx="16">
                        <c:v>2013</c:v>
                      </c:pt>
                      <c:pt idx="17">
                        <c:v>2014</c:v>
                      </c:pt>
                      <c:pt idx="18">
                        <c:v>2015</c:v>
                      </c:pt>
                      <c:pt idx="19">
                        <c:v>2016</c:v>
                      </c:pt>
                      <c:pt idx="20">
                        <c:v>2017</c:v>
                      </c:pt>
                      <c:pt idx="21">
                        <c:v>2018</c:v>
                      </c:pt>
                      <c:pt idx="22">
                        <c:v>2019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Wage130!$G$2:$G$24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12.519863791146426</c:v>
                      </c:pt>
                      <c:pt idx="1">
                        <c:v>12.847533632286996</c:v>
                      </c:pt>
                      <c:pt idx="2">
                        <c:v>12.757111597374179</c:v>
                      </c:pt>
                      <c:pt idx="3">
                        <c:v>12.941798941798943</c:v>
                      </c:pt>
                      <c:pt idx="4">
                        <c:v>12.63702171664943</c:v>
                      </c:pt>
                      <c:pt idx="5">
                        <c:v>12.86</c:v>
                      </c:pt>
                      <c:pt idx="6">
                        <c:v>12.701149425287356</c:v>
                      </c:pt>
                      <c:pt idx="7">
                        <c:v>12.80453257790368</c:v>
                      </c:pt>
                      <c:pt idx="8">
                        <c:v>12.802960222016651</c:v>
                      </c:pt>
                      <c:pt idx="9">
                        <c:v>13.098842386464828</c:v>
                      </c:pt>
                      <c:pt idx="10">
                        <c:v>14.554707379134859</c:v>
                      </c:pt>
                      <c:pt idx="11">
                        <c:v>14.046052631578947</c:v>
                      </c:pt>
                      <c:pt idx="12">
                        <c:v>15.563786008230451</c:v>
                      </c:pt>
                      <c:pt idx="13">
                        <c:v>16.259168704156476</c:v>
                      </c:pt>
                      <c:pt idx="14">
                        <c:v>14.645982498011136</c:v>
                      </c:pt>
                      <c:pt idx="15">
                        <c:v>15.837922895357986</c:v>
                      </c:pt>
                      <c:pt idx="16">
                        <c:v>15.911559348332039</c:v>
                      </c:pt>
                      <c:pt idx="17">
                        <c:v>15.325264750378217</c:v>
                      </c:pt>
                      <c:pt idx="18">
                        <c:v>16.866118175018698</c:v>
                      </c:pt>
                      <c:pt idx="19">
                        <c:v>17.09319526627219</c:v>
                      </c:pt>
                      <c:pt idx="20">
                        <c:v>16.21995630007283</c:v>
                      </c:pt>
                      <c:pt idx="21">
                        <c:v>15.19203413940256</c:v>
                      </c:pt>
                      <c:pt idx="22">
                        <c:v>17.03004891684137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17E-4E6D-A211-58AAD6CE7669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Wage130!$H$1</c15:sqref>
                        </c15:formulaRef>
                      </c:ext>
                    </c:extLst>
                    <c:strCache>
                      <c:ptCount val="1"/>
                      <c:pt idx="0">
                        <c:v>Trend(Real Male)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Wage130!$A$2:$A$24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1997</c:v>
                      </c:pt>
                      <c:pt idx="1">
                        <c:v>1998</c:v>
                      </c:pt>
                      <c:pt idx="2">
                        <c:v>1999</c:v>
                      </c:pt>
                      <c:pt idx="3">
                        <c:v>2000</c:v>
                      </c:pt>
                      <c:pt idx="4">
                        <c:v>2001</c:v>
                      </c:pt>
                      <c:pt idx="5">
                        <c:v>2002</c:v>
                      </c:pt>
                      <c:pt idx="6">
                        <c:v>2003</c:v>
                      </c:pt>
                      <c:pt idx="7">
                        <c:v>2004</c:v>
                      </c:pt>
                      <c:pt idx="8">
                        <c:v>2005</c:v>
                      </c:pt>
                      <c:pt idx="9">
                        <c:v>2006</c:v>
                      </c:pt>
                      <c:pt idx="10">
                        <c:v>2007</c:v>
                      </c:pt>
                      <c:pt idx="11">
                        <c:v>2008</c:v>
                      </c:pt>
                      <c:pt idx="12">
                        <c:v>2009</c:v>
                      </c:pt>
                      <c:pt idx="13">
                        <c:v>2010</c:v>
                      </c:pt>
                      <c:pt idx="14">
                        <c:v>2011</c:v>
                      </c:pt>
                      <c:pt idx="15">
                        <c:v>2012</c:v>
                      </c:pt>
                      <c:pt idx="16">
                        <c:v>2013</c:v>
                      </c:pt>
                      <c:pt idx="17">
                        <c:v>2014</c:v>
                      </c:pt>
                      <c:pt idx="18">
                        <c:v>2015</c:v>
                      </c:pt>
                      <c:pt idx="19">
                        <c:v>2016</c:v>
                      </c:pt>
                      <c:pt idx="20">
                        <c:v>2017</c:v>
                      </c:pt>
                      <c:pt idx="21">
                        <c:v>2018</c:v>
                      </c:pt>
                      <c:pt idx="22">
                        <c:v>2019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Wage130!$H$2:$H$24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13.999000376155323</c:v>
                      </c:pt>
                      <c:pt idx="1">
                        <c:v>14.26259928026343</c:v>
                      </c:pt>
                      <c:pt idx="2">
                        <c:v>14.526198184371538</c:v>
                      </c:pt>
                      <c:pt idx="3">
                        <c:v>14.789797088479645</c:v>
                      </c:pt>
                      <c:pt idx="4">
                        <c:v>15.053395992587753</c:v>
                      </c:pt>
                      <c:pt idx="5">
                        <c:v>15.31699489669586</c:v>
                      </c:pt>
                      <c:pt idx="6">
                        <c:v>15.580593800803967</c:v>
                      </c:pt>
                      <c:pt idx="7">
                        <c:v>15.844192704912075</c:v>
                      </c:pt>
                      <c:pt idx="8">
                        <c:v>16.107791609020296</c:v>
                      </c:pt>
                      <c:pt idx="9">
                        <c:v>16.371390513128404</c:v>
                      </c:pt>
                      <c:pt idx="10">
                        <c:v>16.634989417236511</c:v>
                      </c:pt>
                      <c:pt idx="11">
                        <c:v>16.898588321344619</c:v>
                      </c:pt>
                      <c:pt idx="12">
                        <c:v>17.162187225452726</c:v>
                      </c:pt>
                      <c:pt idx="13">
                        <c:v>17.425786129560834</c:v>
                      </c:pt>
                      <c:pt idx="14">
                        <c:v>17.689385033668941</c:v>
                      </c:pt>
                      <c:pt idx="15">
                        <c:v>17.952983937777049</c:v>
                      </c:pt>
                      <c:pt idx="16">
                        <c:v>18.216582841885156</c:v>
                      </c:pt>
                      <c:pt idx="17">
                        <c:v>18.480181745993264</c:v>
                      </c:pt>
                      <c:pt idx="18">
                        <c:v>18.743780650101371</c:v>
                      </c:pt>
                      <c:pt idx="19">
                        <c:v>19.007379554209592</c:v>
                      </c:pt>
                      <c:pt idx="20">
                        <c:v>19.2709784583177</c:v>
                      </c:pt>
                      <c:pt idx="21">
                        <c:v>19.534577362425807</c:v>
                      </c:pt>
                      <c:pt idx="22">
                        <c:v>19.798176266533915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17E-4E6D-A211-58AAD6CE7669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Wage130!$I$1</c15:sqref>
                        </c15:formulaRef>
                      </c:ext>
                    </c:extLst>
                    <c:strCache>
                      <c:ptCount val="1"/>
                      <c:pt idx="0">
                        <c:v>Trend(Real Female)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Wage130!$A$2:$A$24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1997</c:v>
                      </c:pt>
                      <c:pt idx="1">
                        <c:v>1998</c:v>
                      </c:pt>
                      <c:pt idx="2">
                        <c:v>1999</c:v>
                      </c:pt>
                      <c:pt idx="3">
                        <c:v>2000</c:v>
                      </c:pt>
                      <c:pt idx="4">
                        <c:v>2001</c:v>
                      </c:pt>
                      <c:pt idx="5">
                        <c:v>2002</c:v>
                      </c:pt>
                      <c:pt idx="6">
                        <c:v>2003</c:v>
                      </c:pt>
                      <c:pt idx="7">
                        <c:v>2004</c:v>
                      </c:pt>
                      <c:pt idx="8">
                        <c:v>2005</c:v>
                      </c:pt>
                      <c:pt idx="9">
                        <c:v>2006</c:v>
                      </c:pt>
                      <c:pt idx="10">
                        <c:v>2007</c:v>
                      </c:pt>
                      <c:pt idx="11">
                        <c:v>2008</c:v>
                      </c:pt>
                      <c:pt idx="12">
                        <c:v>2009</c:v>
                      </c:pt>
                      <c:pt idx="13">
                        <c:v>2010</c:v>
                      </c:pt>
                      <c:pt idx="14">
                        <c:v>2011</c:v>
                      </c:pt>
                      <c:pt idx="15">
                        <c:v>2012</c:v>
                      </c:pt>
                      <c:pt idx="16">
                        <c:v>2013</c:v>
                      </c:pt>
                      <c:pt idx="17">
                        <c:v>2014</c:v>
                      </c:pt>
                      <c:pt idx="18">
                        <c:v>2015</c:v>
                      </c:pt>
                      <c:pt idx="19">
                        <c:v>2016</c:v>
                      </c:pt>
                      <c:pt idx="20">
                        <c:v>2017</c:v>
                      </c:pt>
                      <c:pt idx="21">
                        <c:v>2018</c:v>
                      </c:pt>
                      <c:pt idx="22">
                        <c:v>2019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Wage130!$I$2:$I$24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12.034706066876424</c:v>
                      </c:pt>
                      <c:pt idx="1">
                        <c:v>12.254936785317398</c:v>
                      </c:pt>
                      <c:pt idx="2">
                        <c:v>12.475167503758314</c:v>
                      </c:pt>
                      <c:pt idx="3">
                        <c:v>12.695398222199287</c:v>
                      </c:pt>
                      <c:pt idx="4">
                        <c:v>12.915628940640204</c:v>
                      </c:pt>
                      <c:pt idx="5">
                        <c:v>13.13585965908112</c:v>
                      </c:pt>
                      <c:pt idx="6">
                        <c:v>13.356090377522094</c:v>
                      </c:pt>
                      <c:pt idx="7">
                        <c:v>13.57632109596301</c:v>
                      </c:pt>
                      <c:pt idx="8">
                        <c:v>13.796551814403983</c:v>
                      </c:pt>
                      <c:pt idx="9">
                        <c:v>14.0167825328449</c:v>
                      </c:pt>
                      <c:pt idx="10">
                        <c:v>14.237013251285816</c:v>
                      </c:pt>
                      <c:pt idx="11">
                        <c:v>14.45724396972679</c:v>
                      </c:pt>
                      <c:pt idx="12">
                        <c:v>14.677474688167706</c:v>
                      </c:pt>
                      <c:pt idx="13">
                        <c:v>14.897705406608679</c:v>
                      </c:pt>
                      <c:pt idx="14">
                        <c:v>15.117936125049596</c:v>
                      </c:pt>
                      <c:pt idx="15">
                        <c:v>15.338166843490512</c:v>
                      </c:pt>
                      <c:pt idx="16">
                        <c:v>15.558397561931486</c:v>
                      </c:pt>
                      <c:pt idx="17">
                        <c:v>15.778628280372402</c:v>
                      </c:pt>
                      <c:pt idx="18">
                        <c:v>15.998858998813375</c:v>
                      </c:pt>
                      <c:pt idx="19">
                        <c:v>16.219089717254292</c:v>
                      </c:pt>
                      <c:pt idx="20">
                        <c:v>16.439320435695208</c:v>
                      </c:pt>
                      <c:pt idx="21">
                        <c:v>16.659551154136182</c:v>
                      </c:pt>
                      <c:pt idx="22">
                        <c:v>16.879781872577098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17E-4E6D-A211-58AAD6CE7669}"/>
                  </c:ext>
                </c:extLst>
              </c15:ser>
            </c15:filteredScatterSeries>
          </c:ext>
        </c:extLst>
      </c:scatterChart>
      <c:valAx>
        <c:axId val="1091011248"/>
        <c:scaling>
          <c:orientation val="minMax"/>
          <c:max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layout>
            <c:manualLayout>
              <c:xMode val="edge"/>
              <c:yMode val="edge"/>
              <c:x val="0.48520073762603877"/>
              <c:y val="0.79718943189952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023312"/>
        <c:crosses val="autoZero"/>
        <c:crossBetween val="midCat"/>
      </c:valAx>
      <c:valAx>
        <c:axId val="10910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REal Wage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011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Evolution of real per capita GDP in LOG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B!$H$1</c:f>
              <c:strCache>
                <c:ptCount val="1"/>
                <c:pt idx="0">
                  <c:v>LOG(Bahamas)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B!$H$2:$H$49</c:f>
              <c:numCache>
                <c:formatCode>General</c:formatCode>
                <c:ptCount val="48"/>
                <c:pt idx="0">
                  <c:v>9.7130888633567736</c:v>
                </c:pt>
                <c:pt idx="1">
                  <c:v>9.6935495479083791</c:v>
                </c:pt>
                <c:pt idx="2">
                  <c:v>9.6556035906142395</c:v>
                </c:pt>
                <c:pt idx="3">
                  <c:v>9.6942697118507848</c:v>
                </c:pt>
                <c:pt idx="4">
                  <c:v>9.457500404916706</c:v>
                </c:pt>
                <c:pt idx="5">
                  <c:v>9.3890186333553363</c:v>
                </c:pt>
                <c:pt idx="6">
                  <c:v>9.4454030079446643</c:v>
                </c:pt>
                <c:pt idx="7">
                  <c:v>9.5931501075771379</c:v>
                </c:pt>
                <c:pt idx="8">
                  <c:v>9.7291913066159026</c:v>
                </c:pt>
                <c:pt idx="9">
                  <c:v>10.057404919433756</c:v>
                </c:pt>
                <c:pt idx="10">
                  <c:v>10.034347818375759</c:v>
                </c:pt>
                <c:pt idx="11">
                  <c:v>9.9235259363532808</c:v>
                </c:pt>
                <c:pt idx="12">
                  <c:v>9.8579550015784267</c:v>
                </c:pt>
                <c:pt idx="13">
                  <c:v>9.8248089973167279</c:v>
                </c:pt>
                <c:pt idx="14">
                  <c:v>9.9614238581842205</c:v>
                </c:pt>
                <c:pt idx="15">
                  <c:v>10.056787441972432</c:v>
                </c:pt>
                <c:pt idx="16">
                  <c:v>10.077813899315318</c:v>
                </c:pt>
                <c:pt idx="17">
                  <c:v>10.082562595101102</c:v>
                </c:pt>
                <c:pt idx="18">
                  <c:v>10.096326523585482</c:v>
                </c:pt>
                <c:pt idx="19">
                  <c:v>10.154237710535387</c:v>
                </c:pt>
                <c:pt idx="20">
                  <c:v>10.144584178641045</c:v>
                </c:pt>
                <c:pt idx="21">
                  <c:v>10.06526493215374</c:v>
                </c:pt>
                <c:pt idx="22">
                  <c:v>10.03078782197235</c:v>
                </c:pt>
                <c:pt idx="23">
                  <c:v>10.014478238995448</c:v>
                </c:pt>
                <c:pt idx="24">
                  <c:v>10.045680884512631</c:v>
                </c:pt>
                <c:pt idx="25">
                  <c:v>10.070252903211955</c:v>
                </c:pt>
                <c:pt idx="26">
                  <c:v>10.205265189111765</c:v>
                </c:pt>
                <c:pt idx="27">
                  <c:v>10.252667630000063</c:v>
                </c:pt>
                <c:pt idx="28">
                  <c:v>10.349868730739303</c:v>
                </c:pt>
                <c:pt idx="29">
                  <c:v>10.429970754149958</c:v>
                </c:pt>
                <c:pt idx="30">
                  <c:v>10.456919689621143</c:v>
                </c:pt>
                <c:pt idx="31">
                  <c:v>10.428987972835417</c:v>
                </c:pt>
                <c:pt idx="32">
                  <c:v>10.502829145824508</c:v>
                </c:pt>
                <c:pt idx="33">
                  <c:v>10.458918883544603</c:v>
                </c:pt>
                <c:pt idx="34">
                  <c:v>10.421490557169774</c:v>
                </c:pt>
                <c:pt idx="35">
                  <c:v>10.468705050130207</c:v>
                </c:pt>
                <c:pt idx="36">
                  <c:v>10.461002850271495</c:v>
                </c:pt>
                <c:pt idx="37">
                  <c:v>10.48905676069729</c:v>
                </c:pt>
                <c:pt idx="38">
                  <c:v>10.43783622717296</c:v>
                </c:pt>
                <c:pt idx="39">
                  <c:v>10.354150347842717</c:v>
                </c:pt>
                <c:pt idx="40">
                  <c:v>10.354971687168732</c:v>
                </c:pt>
                <c:pt idx="41">
                  <c:v>10.329390053754279</c:v>
                </c:pt>
                <c:pt idx="42">
                  <c:v>10.347560365433512</c:v>
                </c:pt>
                <c:pt idx="43">
                  <c:v>10.312846403512289</c:v>
                </c:pt>
                <c:pt idx="44">
                  <c:v>10.307505947993352</c:v>
                </c:pt>
                <c:pt idx="45">
                  <c:v>10.283138319151231</c:v>
                </c:pt>
                <c:pt idx="46">
                  <c:v>10.272009591689068</c:v>
                </c:pt>
                <c:pt idx="47">
                  <c:v>10.255902033578094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5-4EC9-B441-ED76B0978E75}"/>
            </c:ext>
          </c:extLst>
        </c:ser>
        <c:ser>
          <c:idx val="1"/>
          <c:order val="1"/>
          <c:tx>
            <c:strRef>
              <c:f>B!$J$1</c:f>
              <c:strCache>
                <c:ptCount val="1"/>
                <c:pt idx="0">
                  <c:v>LOG(Cayman Islands)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B!$J$2:$J$49</c:f>
              <c:numCache>
                <c:formatCode>General</c:formatCode>
                <c:ptCount val="48"/>
                <c:pt idx="0">
                  <c:v>10.183749161320424</c:v>
                </c:pt>
                <c:pt idx="1">
                  <c:v>10.168238581797699</c:v>
                </c:pt>
                <c:pt idx="2">
                  <c:v>10.189846249712998</c:v>
                </c:pt>
                <c:pt idx="3">
                  <c:v>10.261976001080889</c:v>
                </c:pt>
                <c:pt idx="4">
                  <c:v>10.29247396296822</c:v>
                </c:pt>
                <c:pt idx="5">
                  <c:v>10.323500985361667</c:v>
                </c:pt>
                <c:pt idx="6">
                  <c:v>10.356244560118373</c:v>
                </c:pt>
                <c:pt idx="7">
                  <c:v>10.389472792794162</c:v>
                </c:pt>
                <c:pt idx="8">
                  <c:v>10.426602946749103</c:v>
                </c:pt>
                <c:pt idx="9">
                  <c:v>10.471558069735933</c:v>
                </c:pt>
                <c:pt idx="10">
                  <c:v>10.516210431791613</c:v>
                </c:pt>
                <c:pt idx="11">
                  <c:v>10.573336423014029</c:v>
                </c:pt>
                <c:pt idx="12">
                  <c:v>10.633934371396892</c:v>
                </c:pt>
                <c:pt idx="13">
                  <c:v>10.728685279809314</c:v>
                </c:pt>
                <c:pt idx="14">
                  <c:v>10.778468254153292</c:v>
                </c:pt>
                <c:pt idx="15">
                  <c:v>10.73505991283683</c:v>
                </c:pt>
                <c:pt idx="16">
                  <c:v>10.788029586095703</c:v>
                </c:pt>
                <c:pt idx="17">
                  <c:v>10.81830479936419</c:v>
                </c:pt>
                <c:pt idx="18">
                  <c:v>10.917952540647439</c:v>
                </c:pt>
                <c:pt idx="19">
                  <c:v>10.936505296002814</c:v>
                </c:pt>
                <c:pt idx="20">
                  <c:v>10.9978359303094</c:v>
                </c:pt>
                <c:pt idx="21">
                  <c:v>10.964996271985953</c:v>
                </c:pt>
                <c:pt idx="22">
                  <c:v>10.955865657731312</c:v>
                </c:pt>
                <c:pt idx="23">
                  <c:v>10.959754638580199</c:v>
                </c:pt>
                <c:pt idx="24">
                  <c:v>10.961068449761978</c:v>
                </c:pt>
                <c:pt idx="25">
                  <c:v>10.954860598733752</c:v>
                </c:pt>
                <c:pt idx="26">
                  <c:v>10.946846259078724</c:v>
                </c:pt>
                <c:pt idx="27">
                  <c:v>10.941387590548509</c:v>
                </c:pt>
                <c:pt idx="28">
                  <c:v>11.147384764671866</c:v>
                </c:pt>
                <c:pt idx="29">
                  <c:v>11.126993536095668</c:v>
                </c:pt>
                <c:pt idx="30">
                  <c:v>11.090595338564427</c:v>
                </c:pt>
                <c:pt idx="31">
                  <c:v>11.057911960307097</c:v>
                </c:pt>
                <c:pt idx="32">
                  <c:v>11.042745340150065</c:v>
                </c:pt>
                <c:pt idx="33">
                  <c:v>11.034078367273063</c:v>
                </c:pt>
                <c:pt idx="34">
                  <c:v>11.015747782906336</c:v>
                </c:pt>
                <c:pt idx="35">
                  <c:v>11.051044755304044</c:v>
                </c:pt>
                <c:pt idx="36">
                  <c:v>11.067507671882757</c:v>
                </c:pt>
                <c:pt idx="37">
                  <c:v>11.070055797502624</c:v>
                </c:pt>
                <c:pt idx="38">
                  <c:v>11.038803446790899</c:v>
                </c:pt>
                <c:pt idx="39">
                  <c:v>10.938865003235689</c:v>
                </c:pt>
                <c:pt idx="40">
                  <c:v>10.888963617375335</c:v>
                </c:pt>
                <c:pt idx="41">
                  <c:v>10.881450263438971</c:v>
                </c:pt>
                <c:pt idx="42">
                  <c:v>10.877138100189722</c:v>
                </c:pt>
                <c:pt idx="43">
                  <c:v>10.875233047861677</c:v>
                </c:pt>
                <c:pt idx="44">
                  <c:v>10.887797054948251</c:v>
                </c:pt>
                <c:pt idx="45">
                  <c:v>10.902486850907074</c:v>
                </c:pt>
                <c:pt idx="46">
                  <c:v>10.923971258756932</c:v>
                </c:pt>
                <c:pt idx="47">
                  <c:v>10.933786560171946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5-4EC9-B441-ED76B0978E75}"/>
            </c:ext>
          </c:extLst>
        </c:ser>
        <c:ser>
          <c:idx val="2"/>
          <c:order val="2"/>
          <c:tx>
            <c:strRef>
              <c:f>B!$L$1</c:f>
              <c:strCache>
                <c:ptCount val="1"/>
                <c:pt idx="0">
                  <c:v>LOG(Egypt)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B!$L$2:$L$49</c:f>
              <c:numCache>
                <c:formatCode>General</c:formatCode>
                <c:ptCount val="48"/>
                <c:pt idx="0">
                  <c:v>6.9842439863640164</c:v>
                </c:pt>
                <c:pt idx="1">
                  <c:v>6.9807175951225542</c:v>
                </c:pt>
                <c:pt idx="2">
                  <c:v>7.0200834639555572</c:v>
                </c:pt>
                <c:pt idx="3">
                  <c:v>7.0070122055794775</c:v>
                </c:pt>
                <c:pt idx="4">
                  <c:v>7.0851061691226711</c:v>
                </c:pt>
                <c:pt idx="5">
                  <c:v>7.1017171569327671</c:v>
                </c:pt>
                <c:pt idx="6">
                  <c:v>7.1093646246833755</c:v>
                </c:pt>
                <c:pt idx="7">
                  <c:v>7.1447228368894162</c:v>
                </c:pt>
                <c:pt idx="8">
                  <c:v>7.1692499346802698</c:v>
                </c:pt>
                <c:pt idx="9">
                  <c:v>7.1403262521792188</c:v>
                </c:pt>
                <c:pt idx="10">
                  <c:v>7.1445965862185421</c:v>
                </c:pt>
                <c:pt idx="11">
                  <c:v>7.254665704803446</c:v>
                </c:pt>
                <c:pt idx="12">
                  <c:v>7.2360369212196254</c:v>
                </c:pt>
                <c:pt idx="13">
                  <c:v>7.3521590091775879</c:v>
                </c:pt>
                <c:pt idx="14">
                  <c:v>7.4502714118697497</c:v>
                </c:pt>
                <c:pt idx="15">
                  <c:v>7.4919800523178957</c:v>
                </c:pt>
                <c:pt idx="16">
                  <c:v>7.4749309899801313</c:v>
                </c:pt>
                <c:pt idx="17">
                  <c:v>7.4776438351739971</c:v>
                </c:pt>
                <c:pt idx="18">
                  <c:v>7.4388892844819097</c:v>
                </c:pt>
                <c:pt idx="19">
                  <c:v>7.51903057995316</c:v>
                </c:pt>
                <c:pt idx="20">
                  <c:v>7.6073466510659626</c:v>
                </c:pt>
                <c:pt idx="21">
                  <c:v>7.7322946907915098</c:v>
                </c:pt>
                <c:pt idx="22">
                  <c:v>7.8127909091597392</c:v>
                </c:pt>
                <c:pt idx="23">
                  <c:v>7.9515100341655272</c:v>
                </c:pt>
                <c:pt idx="24">
                  <c:v>8.06384370878731</c:v>
                </c:pt>
                <c:pt idx="25">
                  <c:v>8.2046608939538999</c:v>
                </c:pt>
                <c:pt idx="26">
                  <c:v>8.3700681075254622</c:v>
                </c:pt>
                <c:pt idx="27">
                  <c:v>8.3972287782850472</c:v>
                </c:pt>
                <c:pt idx="28">
                  <c:v>8.3894461798135929</c:v>
                </c:pt>
                <c:pt idx="29">
                  <c:v>8.4250647445271287</c:v>
                </c:pt>
                <c:pt idx="30">
                  <c:v>8.4530876431990283</c:v>
                </c:pt>
                <c:pt idx="31">
                  <c:v>8.4814872541949473</c:v>
                </c:pt>
                <c:pt idx="32">
                  <c:v>8.4908800164236542</c:v>
                </c:pt>
                <c:pt idx="33">
                  <c:v>8.510810867648507</c:v>
                </c:pt>
                <c:pt idx="34">
                  <c:v>8.5404994776464722</c:v>
                </c:pt>
                <c:pt idx="35">
                  <c:v>8.5571136596837913</c:v>
                </c:pt>
                <c:pt idx="36">
                  <c:v>8.6507970814127617</c:v>
                </c:pt>
                <c:pt idx="37">
                  <c:v>8.7585396597996965</c:v>
                </c:pt>
                <c:pt idx="38">
                  <c:v>8.8608509785950123</c:v>
                </c:pt>
                <c:pt idx="39">
                  <c:v>8.9380249586551894</c:v>
                </c:pt>
                <c:pt idx="40">
                  <c:v>9.0552806123944443</c:v>
                </c:pt>
                <c:pt idx="41">
                  <c:v>9.1738620550146344</c:v>
                </c:pt>
                <c:pt idx="42">
                  <c:v>9.1728617405170443</c:v>
                </c:pt>
                <c:pt idx="43">
                  <c:v>9.1845619451027858</c:v>
                </c:pt>
                <c:pt idx="44">
                  <c:v>9.1901713375611127</c:v>
                </c:pt>
                <c:pt idx="45">
                  <c:v>9.2105433513744703</c:v>
                </c:pt>
                <c:pt idx="46">
                  <c:v>9.2301224108251283</c:v>
                </c:pt>
                <c:pt idx="47">
                  <c:v>9.2310651230051679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5-4EC9-B441-ED76B0978E75}"/>
            </c:ext>
          </c:extLst>
        </c:ser>
        <c:ser>
          <c:idx val="3"/>
          <c:order val="3"/>
          <c:tx>
            <c:strRef>
              <c:f>B!$N$1</c:f>
              <c:strCache>
                <c:ptCount val="1"/>
                <c:pt idx="0">
                  <c:v>LOG(Saudi Arabia)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B!$N$2:$N$49</c:f>
              <c:numCache>
                <c:formatCode>General</c:formatCode>
                <c:ptCount val="48"/>
                <c:pt idx="0">
                  <c:v>9.8322680969066045</c:v>
                </c:pt>
                <c:pt idx="1">
                  <c:v>9.9931211967092857</c:v>
                </c:pt>
                <c:pt idx="2">
                  <c:v>10.116977053101884</c:v>
                </c:pt>
                <c:pt idx="3">
                  <c:v>10.216270690735296</c:v>
                </c:pt>
                <c:pt idx="4">
                  <c:v>10.638328587436076</c:v>
                </c:pt>
                <c:pt idx="5">
                  <c:v>10.408181516036755</c:v>
                </c:pt>
                <c:pt idx="6">
                  <c:v>10.563427164696215</c:v>
                </c:pt>
                <c:pt idx="7">
                  <c:v>10.518355032911137</c:v>
                </c:pt>
                <c:pt idx="8">
                  <c:v>10.443856735709046</c:v>
                </c:pt>
                <c:pt idx="9">
                  <c:v>10.426408235283761</c:v>
                </c:pt>
                <c:pt idx="10">
                  <c:v>10.456731943302383</c:v>
                </c:pt>
                <c:pt idx="11">
                  <c:v>10.403754529462294</c:v>
                </c:pt>
                <c:pt idx="12">
                  <c:v>10.21137988977687</c:v>
                </c:pt>
                <c:pt idx="13">
                  <c:v>10.085851191777937</c:v>
                </c:pt>
                <c:pt idx="14">
                  <c:v>9.9780647360215653</c:v>
                </c:pt>
                <c:pt idx="15">
                  <c:v>9.7786066364190489</c:v>
                </c:pt>
                <c:pt idx="16">
                  <c:v>9.7539527863025022</c:v>
                </c:pt>
                <c:pt idx="17">
                  <c:v>9.6590552451832536</c:v>
                </c:pt>
                <c:pt idx="18">
                  <c:v>9.7152567706112514</c:v>
                </c:pt>
                <c:pt idx="19">
                  <c:v>9.6756479922111502</c:v>
                </c:pt>
                <c:pt idx="20">
                  <c:v>9.701597780969232</c:v>
                </c:pt>
                <c:pt idx="21">
                  <c:v>9.7823267561635596</c:v>
                </c:pt>
                <c:pt idx="22">
                  <c:v>9.8249160953759205</c:v>
                </c:pt>
                <c:pt idx="23">
                  <c:v>9.8106137523471499</c:v>
                </c:pt>
                <c:pt idx="24">
                  <c:v>9.7670433503692564</c:v>
                </c:pt>
                <c:pt idx="25">
                  <c:v>9.7476562111881702</c:v>
                </c:pt>
                <c:pt idx="26">
                  <c:v>9.7508647881846322</c:v>
                </c:pt>
                <c:pt idx="27">
                  <c:v>9.7578118583495659</c:v>
                </c:pt>
                <c:pt idx="28">
                  <c:v>9.6480570935825511</c:v>
                </c:pt>
                <c:pt idx="29">
                  <c:v>9.7462780325570275</c:v>
                </c:pt>
                <c:pt idx="30">
                  <c:v>9.891065720037334</c:v>
                </c:pt>
                <c:pt idx="31">
                  <c:v>9.8185411329627517</c:v>
                </c:pt>
                <c:pt idx="32">
                  <c:v>9.8892496732695783</c:v>
                </c:pt>
                <c:pt idx="33">
                  <c:v>9.9436064199204246</c:v>
                </c:pt>
                <c:pt idx="34">
                  <c:v>10.088228679807184</c:v>
                </c:pt>
                <c:pt idx="35">
                  <c:v>10.2511328516602</c:v>
                </c:pt>
                <c:pt idx="36">
                  <c:v>10.373977625948713</c:v>
                </c:pt>
                <c:pt idx="37">
                  <c:v>10.446704468109269</c:v>
                </c:pt>
                <c:pt idx="38">
                  <c:v>10.654343106791485</c:v>
                </c:pt>
                <c:pt idx="39">
                  <c:v>10.458157702368267</c:v>
                </c:pt>
                <c:pt idx="40">
                  <c:v>10.633014636120379</c:v>
                </c:pt>
                <c:pt idx="41">
                  <c:v>10.863846268999941</c:v>
                </c:pt>
                <c:pt idx="42">
                  <c:v>10.88290725009116</c:v>
                </c:pt>
                <c:pt idx="43">
                  <c:v>10.842183013497323</c:v>
                </c:pt>
                <c:pt idx="44">
                  <c:v>10.792091518814194</c:v>
                </c:pt>
                <c:pt idx="45">
                  <c:v>10.624026139687986</c:v>
                </c:pt>
                <c:pt idx="46">
                  <c:v>10.562831021461486</c:v>
                </c:pt>
                <c:pt idx="47">
                  <c:v>10.593897239577423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B5-4EC9-B441-ED76B0978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648656"/>
        <c:axId val="2120650736"/>
      </c:lineChart>
      <c:catAx>
        <c:axId val="2120648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50736"/>
        <c:crosses val="autoZero"/>
        <c:auto val="1"/>
        <c:lblAlgn val="ctr"/>
        <c:lblOffset val="100"/>
        <c:noMultiLvlLbl val="0"/>
      </c:catAx>
      <c:valAx>
        <c:axId val="2120650736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LOG(real</a:t>
                </a:r>
                <a:r>
                  <a:rPr lang="en-CA" baseline="0"/>
                  <a:t> per capita GDP)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64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Cycle</a:t>
            </a:r>
            <a:r>
              <a:rPr lang="en-CA" baseline="0"/>
              <a:t> of real per capita GDP in LOG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B!$T$2:$T$49</c:f>
              <c:numCache>
                <c:formatCode>General</c:formatCode>
                <c:ptCount val="48"/>
                <c:pt idx="0">
                  <c:v>0.24734567736399526</c:v>
                </c:pt>
                <c:pt idx="1">
                  <c:v>0.18367551600890764</c:v>
                </c:pt>
                <c:pt idx="2">
                  <c:v>0.10270216181839054</c:v>
                </c:pt>
                <c:pt idx="3">
                  <c:v>9.9444335169783571E-2</c:v>
                </c:pt>
                <c:pt idx="4">
                  <c:v>-0.17814547063958663</c:v>
                </c:pt>
                <c:pt idx="5">
                  <c:v>-0.28634429206638679</c:v>
                </c:pt>
                <c:pt idx="6">
                  <c:v>-0.26857351833171883</c:v>
                </c:pt>
                <c:pt idx="7">
                  <c:v>-0.15833657054313477</c:v>
                </c:pt>
                <c:pt idx="8">
                  <c:v>-5.8702074338398802E-2</c:v>
                </c:pt>
                <c:pt idx="9">
                  <c:v>0.23420828465574139</c:v>
                </c:pt>
                <c:pt idx="10">
                  <c:v>0.17695137878434686</c:v>
                </c:pt>
                <c:pt idx="11">
                  <c:v>3.3033140959696894E-2</c:v>
                </c:pt>
                <c:pt idx="12">
                  <c:v>-6.4530700607923208E-2</c:v>
                </c:pt>
                <c:pt idx="13">
                  <c:v>-0.12856616265207244</c:v>
                </c:pt>
                <c:pt idx="14">
                  <c:v>-2.1737310556259715E-2</c:v>
                </c:pt>
                <c:pt idx="15">
                  <c:v>4.4943713471042201E-2</c:v>
                </c:pt>
                <c:pt idx="16">
                  <c:v>3.8391060062879845E-2</c:v>
                </c:pt>
                <c:pt idx="17">
                  <c:v>1.6664094107930794E-2</c:v>
                </c:pt>
                <c:pt idx="18">
                  <c:v>5.0558098628030734E-3</c:v>
                </c:pt>
                <c:pt idx="19">
                  <c:v>3.8698233092606671E-2</c:v>
                </c:pt>
                <c:pt idx="20">
                  <c:v>5.8793864884787439E-3</c:v>
                </c:pt>
                <c:pt idx="21">
                  <c:v>-9.5501725698296625E-2</c:v>
                </c:pt>
                <c:pt idx="22">
                  <c:v>-0.15093725256747703</c:v>
                </c:pt>
                <c:pt idx="23">
                  <c:v>-0.1871018032232179</c:v>
                </c:pt>
                <c:pt idx="24">
                  <c:v>-0.17465067637410314</c:v>
                </c:pt>
                <c:pt idx="25">
                  <c:v>-0.16772672733253202</c:v>
                </c:pt>
                <c:pt idx="26">
                  <c:v>-4.925906207924946E-2</c:v>
                </c:pt>
                <c:pt idx="27">
                  <c:v>-1.7297792828072645E-2</c:v>
                </c:pt>
                <c:pt idx="28">
                  <c:v>6.556558528436085E-2</c:v>
                </c:pt>
                <c:pt idx="29">
                  <c:v>0.13243333507852562</c:v>
                </c:pt>
                <c:pt idx="30">
                  <c:v>0.14725144594490125</c:v>
                </c:pt>
                <c:pt idx="31">
                  <c:v>0.10829235356331601</c:v>
                </c:pt>
                <c:pt idx="32">
                  <c:v>0.17220959996731899</c:v>
                </c:pt>
                <c:pt idx="33">
                  <c:v>0.11947886011355102</c:v>
                </c:pt>
                <c:pt idx="34">
                  <c:v>7.4333505174264403E-2</c:v>
                </c:pt>
                <c:pt idx="35">
                  <c:v>0.11493441858055675</c:v>
                </c:pt>
                <c:pt idx="36">
                  <c:v>0.10172208817801831</c:v>
                </c:pt>
                <c:pt idx="37">
                  <c:v>0.1253693170712129</c:v>
                </c:pt>
                <c:pt idx="38">
                  <c:v>7.0845551024143916E-2</c:v>
                </c:pt>
                <c:pt idx="39">
                  <c:v>-1.5040111818978019E-2</c:v>
                </c:pt>
                <c:pt idx="40">
                  <c:v>-1.5315106995071659E-2</c:v>
                </c:pt>
                <c:pt idx="41">
                  <c:v>-4.0889625900861759E-2</c:v>
                </c:pt>
                <c:pt idx="42">
                  <c:v>-2.1608750703105528E-2</c:v>
                </c:pt>
                <c:pt idx="43">
                  <c:v>-5.4108700095490292E-2</c:v>
                </c:pt>
                <c:pt idx="44">
                  <c:v>-5.6131694074363025E-2</c:v>
                </c:pt>
                <c:pt idx="45">
                  <c:v>-7.6078412366559434E-2</c:v>
                </c:pt>
                <c:pt idx="46">
                  <c:v>-8.1682780268936384E-2</c:v>
                </c:pt>
                <c:pt idx="47">
                  <c:v>-9.1162529809354353E-2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90FC-4293-A9B7-F962C34E98A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B!$U$2:$U$49</c:f>
              <c:numCache>
                <c:formatCode>General</c:formatCode>
                <c:ptCount val="48"/>
                <c:pt idx="0">
                  <c:v>0.11389207952551672</c:v>
                </c:pt>
                <c:pt idx="1">
                  <c:v>3.8765366745895591E-2</c:v>
                </c:pt>
                <c:pt idx="2">
                  <c:v>2.6402739823492283E-3</c:v>
                </c:pt>
                <c:pt idx="3">
                  <c:v>1.8920637250353423E-2</c:v>
                </c:pt>
                <c:pt idx="4">
                  <c:v>-4.5474163841525694E-3</c:v>
                </c:pt>
                <c:pt idx="5">
                  <c:v>-2.5603036933583567E-2</c:v>
                </c:pt>
                <c:pt idx="6">
                  <c:v>-4.305873254170578E-2</c:v>
                </c:pt>
                <c:pt idx="7">
                  <c:v>-5.8146397651331228E-2</c:v>
                </c:pt>
                <c:pt idx="8">
                  <c:v>-6.7448768904210255E-2</c:v>
                </c:pt>
                <c:pt idx="9">
                  <c:v>-6.7042798545786653E-2</c:v>
                </c:pt>
                <c:pt idx="10">
                  <c:v>-6.5056216540916978E-2</c:v>
                </c:pt>
                <c:pt idx="11">
                  <c:v>-4.8712632789898791E-2</c:v>
                </c:pt>
                <c:pt idx="12">
                  <c:v>-2.7013719300837735E-2</c:v>
                </c:pt>
                <c:pt idx="13">
                  <c:v>3.0721526797650611E-2</c:v>
                </c:pt>
                <c:pt idx="14">
                  <c:v>4.5372211404835383E-2</c:v>
                </c:pt>
                <c:pt idx="15">
                  <c:v>-3.1285047068552174E-2</c:v>
                </c:pt>
                <c:pt idx="16">
                  <c:v>-9.6809183894634998E-3</c:v>
                </c:pt>
                <c:pt idx="17">
                  <c:v>-8.8878771208928953E-3</c:v>
                </c:pt>
                <c:pt idx="18">
                  <c:v>6.3161064740034689E-2</c:v>
                </c:pt>
                <c:pt idx="19">
                  <c:v>5.5998393252501444E-2</c:v>
                </c:pt>
                <c:pt idx="20">
                  <c:v>9.3496973293319741E-2</c:v>
                </c:pt>
                <c:pt idx="21">
                  <c:v>3.8708633283974336E-2</c:v>
                </c:pt>
                <c:pt idx="22">
                  <c:v>9.512709921029483E-3</c:v>
                </c:pt>
                <c:pt idx="23">
                  <c:v>-4.7802457585195413E-3</c:v>
                </c:pt>
                <c:pt idx="24">
                  <c:v>-1.9764998528035704E-2</c:v>
                </c:pt>
                <c:pt idx="25">
                  <c:v>-4.0388040928142743E-2</c:v>
                </c:pt>
                <c:pt idx="26">
                  <c:v>-6.0934199377003395E-2</c:v>
                </c:pt>
                <c:pt idx="27">
                  <c:v>-7.7041314122091364E-2</c:v>
                </c:pt>
                <c:pt idx="28">
                  <c:v>0.12019078636444291</c:v>
                </c:pt>
                <c:pt idx="29">
                  <c:v>9.2917856730380777E-2</c:v>
                </c:pt>
                <c:pt idx="30">
                  <c:v>5.1521330719324965E-2</c:v>
                </c:pt>
                <c:pt idx="31">
                  <c:v>1.5722996561594371E-2</c:v>
                </c:pt>
                <c:pt idx="32">
                  <c:v>-6.7520691824363155E-4</c:v>
                </c:pt>
                <c:pt idx="33">
                  <c:v>-8.6903905386375158E-3</c:v>
                </c:pt>
                <c:pt idx="34">
                  <c:v>-2.4485813071160933E-2</c:v>
                </c:pt>
                <c:pt idx="35">
                  <c:v>1.5229693740163697E-2</c:v>
                </c:pt>
                <c:pt idx="36">
                  <c:v>3.7994517310087517E-2</c:v>
                </c:pt>
                <c:pt idx="37">
                  <c:v>4.8727922500580334E-2</c:v>
                </c:pt>
                <c:pt idx="38">
                  <c:v>2.7544223937530532E-2</c:v>
                </c:pt>
                <c:pt idx="39">
                  <c:v>-6.0442194890045542E-2</c:v>
                </c:pt>
                <c:pt idx="40">
                  <c:v>-9.6508183444715456E-2</c:v>
                </c:pt>
                <c:pt idx="41">
                  <c:v>-8.8302767496436729E-2</c:v>
                </c:pt>
                <c:pt idx="42">
                  <c:v>-7.5012788282993625E-2</c:v>
                </c:pt>
                <c:pt idx="43">
                  <c:v>-5.7432325568932185E-2</c:v>
                </c:pt>
                <c:pt idx="44">
                  <c:v>-2.3499430862656823E-2</c:v>
                </c:pt>
                <c:pt idx="45">
                  <c:v>1.4442625295281175E-2</c:v>
                </c:pt>
                <c:pt idx="46">
                  <c:v>6.1062665921848946E-2</c:v>
                </c:pt>
                <c:pt idx="47">
                  <c:v>9.7896972692986139E-2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90FC-4293-A9B7-F962C34E98A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B!$V$2:$V$49</c:f>
              <c:numCache>
                <c:formatCode>General</c:formatCode>
                <c:ptCount val="48"/>
                <c:pt idx="0">
                  <c:v>0.13880973363333293</c:v>
                </c:pt>
                <c:pt idx="1">
                  <c:v>9.4970777365018577E-2</c:v>
                </c:pt>
                <c:pt idx="2">
                  <c:v>9.3378027402109431E-2</c:v>
                </c:pt>
                <c:pt idx="3">
                  <c:v>3.8702096460830226E-2</c:v>
                </c:pt>
                <c:pt idx="4">
                  <c:v>7.4545333670219094E-2</c:v>
                </c:pt>
                <c:pt idx="5">
                  <c:v>4.8259541376995507E-2</c:v>
                </c:pt>
                <c:pt idx="6">
                  <c:v>1.2364175255224374E-2</c:v>
                </c:pt>
                <c:pt idx="7">
                  <c:v>3.5334998198255363E-3</c:v>
                </c:pt>
                <c:pt idx="8">
                  <c:v>-1.6774343800047831E-2</c:v>
                </c:pt>
                <c:pt idx="9">
                  <c:v>-9.1179021480885858E-2</c:v>
                </c:pt>
                <c:pt idx="10">
                  <c:v>-0.13303573639040955</c:v>
                </c:pt>
                <c:pt idx="11">
                  <c:v>-6.9739720523412707E-2</c:v>
                </c:pt>
                <c:pt idx="12">
                  <c:v>-0.13578766059442771</c:v>
                </c:pt>
                <c:pt idx="13">
                  <c:v>-6.773078289271961E-2</c:v>
                </c:pt>
                <c:pt idx="14">
                  <c:v>-1.8329644225190123E-2</c:v>
                </c:pt>
                <c:pt idx="15">
                  <c:v>-2.5978321571646035E-2</c:v>
                </c:pt>
                <c:pt idx="16">
                  <c:v>-9.3030755472844895E-2</c:v>
                </c:pt>
                <c:pt idx="17">
                  <c:v>-0.14096733561147357</c:v>
                </c:pt>
                <c:pt idx="18">
                  <c:v>-0.2310173654053429</c:v>
                </c:pt>
                <c:pt idx="19">
                  <c:v>-0.20281760280493444</c:v>
                </c:pt>
                <c:pt idx="20">
                  <c:v>-0.16708911833203377</c:v>
                </c:pt>
                <c:pt idx="21">
                  <c:v>-9.5374719015675957E-2</c:v>
                </c:pt>
                <c:pt idx="22">
                  <c:v>-6.8758194825468522E-2</c:v>
                </c:pt>
                <c:pt idx="23">
                  <c:v>1.5435182233010103E-2</c:v>
                </c:pt>
                <c:pt idx="24">
                  <c:v>7.2597055138878375E-2</c:v>
                </c:pt>
                <c:pt idx="25">
                  <c:v>0.15759638482003879</c:v>
                </c:pt>
                <c:pt idx="26">
                  <c:v>0.26653968913711168</c:v>
                </c:pt>
                <c:pt idx="27">
                  <c:v>0.23659039687291994</c:v>
                </c:pt>
                <c:pt idx="28">
                  <c:v>0.17105178160862877</c:v>
                </c:pt>
                <c:pt idx="29">
                  <c:v>0.1482682757602678</c:v>
                </c:pt>
                <c:pt idx="30">
                  <c:v>0.1172430501012105</c:v>
                </c:pt>
                <c:pt idx="31">
                  <c:v>8.5948482997112663E-2</c:v>
                </c:pt>
                <c:pt idx="32">
                  <c:v>3.5001013356515287E-2</c:v>
                </c:pt>
                <c:pt idx="33">
                  <c:v>-6.0544210569961621E-3</c:v>
                </c:pt>
                <c:pt idx="34">
                  <c:v>-3.7998150466000524E-2</c:v>
                </c:pt>
                <c:pt idx="35">
                  <c:v>-8.3662361605165714E-2</c:v>
                </c:pt>
                <c:pt idx="36">
                  <c:v>-5.2903386821967047E-2</c:v>
                </c:pt>
                <c:pt idx="37">
                  <c:v>-8.7313091496366013E-3</c:v>
                </c:pt>
                <c:pt idx="38">
                  <c:v>2.93634551617874E-2</c:v>
                </c:pt>
                <c:pt idx="39">
                  <c:v>4.1674826969012813E-2</c:v>
                </c:pt>
                <c:pt idx="40">
                  <c:v>9.3421818686028502E-2</c:v>
                </c:pt>
                <c:pt idx="41">
                  <c:v>0.14584854551514681</c:v>
                </c:pt>
                <c:pt idx="42">
                  <c:v>7.8047461457197542E-2</c:v>
                </c:pt>
                <c:pt idx="43">
                  <c:v>2.2300842713519842E-2</c:v>
                </c:pt>
                <c:pt idx="44">
                  <c:v>-4.0182641926177709E-2</c:v>
                </c:pt>
                <c:pt idx="45">
                  <c:v>-8.8549558980359322E-2</c:v>
                </c:pt>
                <c:pt idx="46">
                  <c:v>-0.13835548416652799</c:v>
                </c:pt>
                <c:pt idx="47">
                  <c:v>-0.20744381039214765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90FC-4293-A9B7-F962C34E98A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B!$A$2:$A$49</c:f>
              <c:numCache>
                <c:formatCode>General</c:formatCode>
                <c:ptCount val="48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</c:numCache>
            </c:numRef>
          </c:cat>
          <c:val>
            <c:numRef>
              <c:f>B!$W$2:$W$49</c:f>
              <c:numCache>
                <c:formatCode>General</c:formatCode>
                <c:ptCount val="48"/>
                <c:pt idx="0">
                  <c:v>-0.6920033733687756</c:v>
                </c:pt>
                <c:pt idx="1">
                  <c:v>-0.46830624673959775</c:v>
                </c:pt>
                <c:pt idx="2">
                  <c:v>-0.28471375817071731</c:v>
                </c:pt>
                <c:pt idx="3">
                  <c:v>-0.12879088301487585</c:v>
                </c:pt>
                <c:pt idx="4">
                  <c:v>0.34678885655720926</c:v>
                </c:pt>
                <c:pt idx="5">
                  <c:v>0.16705623337534092</c:v>
                </c:pt>
                <c:pt idx="6">
                  <c:v>0.369608935602038</c:v>
                </c:pt>
                <c:pt idx="7">
                  <c:v>0.36873646272943539</c:v>
                </c:pt>
                <c:pt idx="8">
                  <c:v>0.33533042978960559</c:v>
                </c:pt>
                <c:pt idx="9">
                  <c:v>0.35586679897272866</c:v>
                </c:pt>
                <c:pt idx="10">
                  <c:v>0.42106798194863515</c:v>
                </c:pt>
                <c:pt idx="11">
                  <c:v>0.39986064841197688</c:v>
                </c:pt>
                <c:pt idx="12">
                  <c:v>0.23614869437886021</c:v>
                </c:pt>
                <c:pt idx="13">
                  <c:v>0.13617528737838214</c:v>
                </c:pt>
                <c:pt idx="14">
                  <c:v>5.083672797024974E-2</c:v>
                </c:pt>
                <c:pt idx="15">
                  <c:v>-0.12928086993878907</c:v>
                </c:pt>
                <c:pt idx="16">
                  <c:v>-0.13770161301207295</c:v>
                </c:pt>
                <c:pt idx="17">
                  <c:v>-0.2194734417419113</c:v>
                </c:pt>
                <c:pt idx="18">
                  <c:v>-0.15325359857562759</c:v>
                </c:pt>
                <c:pt idx="19">
                  <c:v>-0.18595145389129542</c:v>
                </c:pt>
                <c:pt idx="20">
                  <c:v>-0.15619813669990457</c:v>
                </c:pt>
                <c:pt idx="21">
                  <c:v>-7.4773027726120489E-2</c:v>
                </c:pt>
                <c:pt idx="22">
                  <c:v>-3.4594949384517903E-2</c:v>
                </c:pt>
                <c:pt idx="23">
                  <c:v>-5.4415947938808884E-2</c:v>
                </c:pt>
                <c:pt idx="24">
                  <c:v>-0.10661240009243755</c:v>
                </c:pt>
                <c:pt idx="25">
                  <c:v>-0.13773298410311163</c:v>
                </c:pt>
                <c:pt idx="26">
                  <c:v>-0.14936524658736161</c:v>
                </c:pt>
                <c:pt idx="27">
                  <c:v>-0.16036641055699263</c:v>
                </c:pt>
                <c:pt idx="28">
                  <c:v>-0.29117680410878677</c:v>
                </c:pt>
                <c:pt idx="29">
                  <c:v>-0.21711888857385198</c:v>
                </c:pt>
                <c:pt idx="30">
                  <c:v>-9.9601619185120782E-2</c:v>
                </c:pt>
                <c:pt idx="31">
                  <c:v>-0.20250401900240256</c:v>
                </c:pt>
                <c:pt idx="32">
                  <c:v>-0.16528068609212809</c:v>
                </c:pt>
                <c:pt idx="33">
                  <c:v>-0.1475165414880486</c:v>
                </c:pt>
                <c:pt idx="34">
                  <c:v>-4.2594278302818367E-2</c:v>
                </c:pt>
                <c:pt idx="35">
                  <c:v>7.7502502198454337E-2</c:v>
                </c:pt>
                <c:pt idx="36">
                  <c:v>0.15443249048046148</c:v>
                </c:pt>
                <c:pt idx="37">
                  <c:v>0.17813715198520619</c:v>
                </c:pt>
                <c:pt idx="38">
                  <c:v>0.33364621535593919</c:v>
                </c:pt>
                <c:pt idx="39">
                  <c:v>8.2223840971932916E-2</c:v>
                </c:pt>
                <c:pt idx="40">
                  <c:v>0.19873641010849497</c:v>
                </c:pt>
                <c:pt idx="41">
                  <c:v>0.36811628372229244</c:v>
                </c:pt>
                <c:pt idx="42">
                  <c:v>0.32261811089298398</c:v>
                </c:pt>
                <c:pt idx="43">
                  <c:v>0.2142273257284053</c:v>
                </c:pt>
                <c:pt idx="44">
                  <c:v>9.336188781977306E-2</c:v>
                </c:pt>
                <c:pt idx="45">
                  <c:v>-0.14858482918124416</c:v>
                </c:pt>
                <c:pt idx="46">
                  <c:v>-0.28676867993822519</c:v>
                </c:pt>
                <c:pt idx="47">
                  <c:v>-0.33579858900207427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90FC-4293-A9B7-F962C34E9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3555920"/>
        <c:axId val="1993550096"/>
      </c:lineChart>
      <c:dateAx>
        <c:axId val="199355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550096"/>
        <c:crosses val="autoZero"/>
        <c:auto val="0"/>
        <c:lblOffset val="100"/>
        <c:baseTimeUnit val="days"/>
      </c:dateAx>
      <c:valAx>
        <c:axId val="19935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LOG(real</a:t>
                </a:r>
                <a:r>
                  <a:rPr lang="en-CA" baseline="0"/>
                  <a:t> per capita GDP)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55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Average</a:t>
            </a:r>
            <a:r>
              <a:rPr lang="en-CA" baseline="0"/>
              <a:t> Annual Growth Rate vs. 1970 real per capita GDP</a:t>
            </a:r>
            <a:endParaRPr lang="en-CA"/>
          </a:p>
        </c:rich>
      </c:tx>
      <c:layout>
        <c:manualLayout>
          <c:xMode val="edge"/>
          <c:yMode val="edge"/>
          <c:x val="0.15848727572408072"/>
          <c:y val="3.60057770556458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B!$H$2</c:f>
              <c:numCache>
                <c:formatCode>General</c:formatCode>
                <c:ptCount val="1"/>
                <c:pt idx="0">
                  <c:v>9.7130888633567736</c:v>
                </c:pt>
              </c:numCache>
            </c:numRef>
          </c:xVal>
          <c:yVal>
            <c:numRef>
              <c:f>B!$Z$2</c:f>
              <c:numCache>
                <c:formatCode>General</c:formatCode>
                <c:ptCount val="1"/>
                <c:pt idx="0">
                  <c:v>1.1549216387687668E-2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06D5-4CB4-B323-9DDC824D30C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B!$J$2</c:f>
              <c:numCache>
                <c:formatCode>General</c:formatCode>
                <c:ptCount val="1"/>
                <c:pt idx="0">
                  <c:v>10.183749161320424</c:v>
                </c:pt>
              </c:numCache>
            </c:numRef>
          </c:xVal>
          <c:yVal>
            <c:numRef>
              <c:f>B!$Z$3</c:f>
              <c:numCache>
                <c:formatCode>General</c:formatCode>
                <c:ptCount val="1"/>
                <c:pt idx="0">
                  <c:v>1.5958242528755776E-2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06D5-4CB4-B323-9DDC824D30C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B!$L$2</c:f>
              <c:numCache>
                <c:formatCode>General</c:formatCode>
                <c:ptCount val="1"/>
                <c:pt idx="0">
                  <c:v>6.9842439863640164</c:v>
                </c:pt>
              </c:numCache>
            </c:numRef>
          </c:xVal>
          <c:yVal>
            <c:numRef>
              <c:f>B!$Z$4</c:f>
              <c:numCache>
                <c:formatCode>General</c:formatCode>
                <c:ptCount val="1"/>
                <c:pt idx="0">
                  <c:v>4.7804705034918113E-2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06D5-4CB4-B323-9DDC824D30C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B!$N$2</c:f>
              <c:numCache>
                <c:formatCode>General</c:formatCode>
                <c:ptCount val="1"/>
                <c:pt idx="0">
                  <c:v>9.8322680969066045</c:v>
                </c:pt>
              </c:numCache>
            </c:numRef>
          </c:xVal>
          <c:yVal>
            <c:numRef>
              <c:f>B!$Z$5</c:f>
              <c:numCache>
                <c:formatCode>General</c:formatCode>
                <c:ptCount val="1"/>
                <c:pt idx="0">
                  <c:v>1.6204875375974859E-2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06D5-4CB4-B323-9DDC824D3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16880"/>
        <c:axId val="195721456"/>
      </c:scatterChart>
      <c:valAx>
        <c:axId val="195716880"/>
        <c:scaling>
          <c:orientation val="minMax"/>
          <c:min val="6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LOG(Real per Capita GDP 1970)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21456"/>
        <c:crosses val="autoZero"/>
        <c:crossBetween val="midCat"/>
      </c:valAx>
      <c:valAx>
        <c:axId val="1957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Annual Average</a:t>
                </a:r>
                <a:r>
                  <a:rPr lang="en-CA" baseline="0"/>
                  <a:t> Growth Rate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6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1984 Distribution of Real Per Capita GDP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1984 Distribution of Real Per Capita GDP</a:t>
          </a:r>
        </a:p>
      </cx:txPr>
    </cx:title>
    <cx:plotArea>
      <cx:plotAreaRegion>
        <cx:series layoutId="clusteredColumn" uniqueId="{F9A50AE9-1B29-4B62-99C7-4C0120A425A6}">
          <cx:dataLabels pos="outEnd">
            <cx:visibility seriesName="0" categoryName="0" value="1"/>
          </cx:dataLabels>
          <cx:dataId val="0"/>
          <cx:layoutPr>
            <cx:binning intervalClosed="r">
              <cx:binCount val="25"/>
            </cx:binning>
          </cx:layoutPr>
        </cx:series>
      </cx:plotAreaRegion>
      <cx:axis id="0">
        <cx:catScaling gapWidth="0"/>
        <cx:title>
          <cx:tx>
            <cx:txData>
              <cx:v>Real Per Capita GDP per Thousand Dollars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Real Per Capita GDP per Thousand Dollars</a:t>
              </a:r>
            </a:p>
          </cx:txPr>
        </cx:title>
        <cx:tickLabels/>
      </cx:axis>
      <cx:axis id="1">
        <cx:valScaling max="50"/>
        <cx:title>
          <cx:tx>
            <cx:txData>
              <cx:v>Number of Countries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Countries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2004 Distribution of Real Per Capita GDP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2004 Distribution of Real Per Capita GDP</a:t>
          </a:r>
        </a:p>
      </cx:txPr>
    </cx:title>
    <cx:plotArea>
      <cx:plotAreaRegion>
        <cx:series layoutId="clusteredColumn" uniqueId="{A4C4BE86-263F-46F7-8B3B-273C1A3F4784}">
          <cx:dataLabels pos="outEnd">
            <cx:visibility seriesName="0" categoryName="0" value="1"/>
          </cx:dataLabels>
          <cx:dataId val="0"/>
          <cx:layoutPr>
            <cx:binning intervalClosed="r">
              <cx:binCount val="25"/>
            </cx:binning>
          </cx:layoutPr>
        </cx:series>
      </cx:plotAreaRegion>
      <cx:axis id="0">
        <cx:catScaling gapWidth="0"/>
        <cx:title>
          <cx:tx>
            <cx:txData>
              <cx:v>Real Per Capita GDP per Thousand Dollars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Real Per Capita GDP per Thousand Dollars</a:t>
              </a:r>
            </a:p>
          </cx:txPr>
        </cx:title>
        <cx:tickLabels/>
      </cx:axis>
      <cx:axis id="1">
        <cx:valScaling/>
        <cx:title>
          <cx:tx>
            <cx:txData>
              <cx:v>Number of Countries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Countries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1984 Distribution of LOG Real Per Capita GDP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1984 Distribution of LOG Real Per Capita GDP</a:t>
          </a:r>
        </a:p>
      </cx:txPr>
    </cx:title>
    <cx:plotArea>
      <cx:plotAreaRegion>
        <cx:series layoutId="clusteredColumn" uniqueId="{7FA90850-ABDF-4C97-B550-21850002827A}">
          <cx:dataLabels pos="outEnd">
            <cx:visibility seriesName="0" categoryName="0" value="1"/>
          </cx:dataLabels>
          <cx:dataId val="0"/>
          <cx:layoutPr>
            <cx:binning intervalClosed="r">
              <cx:binCount val="25"/>
            </cx:binning>
          </cx:layoutPr>
        </cx:series>
      </cx:plotAreaRegion>
      <cx:axis id="0">
        <cx:catScaling gapWidth="0"/>
        <cx:title>
          <cx:tx>
            <cx:txData>
              <cx:v>LOG(Real Per Capita GDP)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LOG(Real Per Capita GDP)</a:t>
              </a:r>
            </a:p>
          </cx:txPr>
        </cx:title>
        <cx:tickLabels/>
      </cx:axis>
      <cx:axis id="1">
        <cx:valScaling/>
        <cx:title>
          <cx:tx>
            <cx:txData>
              <cx:v>Number of Countries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Countries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2004 Distribution of LOG Real Per Capita GDP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2004 Distribution of LOG Real Per Capita GDP</a:t>
          </a:r>
        </a:p>
      </cx:txPr>
    </cx:title>
    <cx:plotArea>
      <cx:plotAreaRegion>
        <cx:series layoutId="clusteredColumn" uniqueId="{5193F4A4-F56F-48A5-B545-FC22E27D0215}">
          <cx:dataLabels pos="outEnd">
            <cx:visibility seriesName="0" categoryName="0" value="1"/>
          </cx:dataLabels>
          <cx:dataId val="0"/>
          <cx:layoutPr>
            <cx:binning intervalClosed="r">
              <cx:binCount val="25"/>
            </cx:binning>
          </cx:layoutPr>
        </cx:series>
      </cx:plotAreaRegion>
      <cx:axis id="0">
        <cx:catScaling gapWidth="0"/>
        <cx:title>
          <cx:tx>
            <cx:txData>
              <cx:v>LOG(Real Per Captia GDP)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LOG(Real Per Captia GDP)</a:t>
              </a:r>
            </a:p>
          </cx:txPr>
        </cx:title>
        <cx:tickLabels/>
      </cx:axis>
      <cx:axis id="1">
        <cx:valScaling/>
        <cx:title>
          <cx:tx>
            <cx:txData>
              <cx:v>Number of Countries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Countries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microsoft.com/office/2014/relationships/chartEx" Target="../charts/chartEx4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microsoft.com/office/2014/relationships/chartEx" Target="../charts/chartEx3.xml"/><Relationship Id="rId5" Type="http://schemas.microsoft.com/office/2014/relationships/chartEx" Target="../charts/chartEx2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414768</xdr:colOff>
      <xdr:row>63</xdr:row>
      <xdr:rowOff>134505</xdr:rowOff>
    </xdr:from>
    <xdr:to>
      <xdr:col>8</xdr:col>
      <xdr:colOff>1307352</xdr:colOff>
      <xdr:row>79</xdr:row>
      <xdr:rowOff>76778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1BF7B-0297-4DEB-A7BA-711F20970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358775</xdr:colOff>
      <xdr:row>29</xdr:row>
      <xdr:rowOff>120650</xdr:rowOff>
    </xdr:from>
    <xdr:to>
      <xdr:col>8</xdr:col>
      <xdr:colOff>1149350</xdr:colOff>
      <xdr:row>45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12294D-E61B-438D-A7FC-6A944D237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317500</xdr:colOff>
      <xdr:row>46</xdr:row>
      <xdr:rowOff>82550</xdr:rowOff>
    </xdr:from>
    <xdr:to>
      <xdr:col>8</xdr:col>
      <xdr:colOff>1159565</xdr:colOff>
      <xdr:row>62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11CDE3-3D25-4756-9ADA-C367B9945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488950</xdr:colOff>
      <xdr:row>81</xdr:row>
      <xdr:rowOff>25400</xdr:rowOff>
    </xdr:from>
    <xdr:to>
      <xdr:col>7</xdr:col>
      <xdr:colOff>1085849</xdr:colOff>
      <xdr:row>99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B7CF6E-4E60-4FEE-9FF1-97E80471B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136524</xdr:colOff>
      <xdr:row>1</xdr:row>
      <xdr:rowOff>152400</xdr:rowOff>
    </xdr:from>
    <xdr:to>
      <xdr:col>10</xdr:col>
      <xdr:colOff>469900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308DF9-9777-481E-9F5E-5B98EACC8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9524</xdr:colOff>
      <xdr:row>18</xdr:row>
      <xdr:rowOff>127000</xdr:rowOff>
    </xdr:from>
    <xdr:to>
      <xdr:col>11</xdr:col>
      <xdr:colOff>444500</xdr:colOff>
      <xdr:row>33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6A81B7-3C34-4DFC-B6EB-D8F60DF2D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352424</xdr:colOff>
      <xdr:row>35</xdr:row>
      <xdr:rowOff>12700</xdr:rowOff>
    </xdr:from>
    <xdr:to>
      <xdr:col>11</xdr:col>
      <xdr:colOff>342900</xdr:colOff>
      <xdr:row>54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E27736-75D6-4102-8322-3F0923319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50800</xdr:colOff>
      <xdr:row>55</xdr:row>
      <xdr:rowOff>133350</xdr:rowOff>
    </xdr:from>
    <xdr:to>
      <xdr:col>12</xdr:col>
      <xdr:colOff>38100</xdr:colOff>
      <xdr:row>75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1">
              <a:extLst>
                <a:ext uri="{FF2B5EF4-FFF2-40B4-BE49-F238E27FC236}">
                  <a16:creationId xmlns:a16="http://schemas.microsoft.com/office/drawing/2014/main" id="{FAE7CD98-E6EB-4718-9F1A-4B3503BC4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400" y="10261600"/>
              <a:ext cx="6692900" cy="3632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73024</xdr:colOff>
      <xdr:row>76</xdr:row>
      <xdr:rowOff>6350</xdr:rowOff>
    </xdr:from>
    <xdr:to>
      <xdr:col>12</xdr:col>
      <xdr:colOff>63500</xdr:colOff>
      <xdr:row>93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2">
              <a:extLst>
                <a:ext uri="{FF2B5EF4-FFF2-40B4-BE49-F238E27FC236}">
                  <a16:creationId xmlns:a16="http://schemas.microsoft.com/office/drawing/2014/main" id="{8CCD8FAA-5E3D-4DB6-BC87-26CD572AC7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2624" y="14001750"/>
              <a:ext cx="6696076" cy="3295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31750</xdr:colOff>
      <xdr:row>95</xdr:row>
      <xdr:rowOff>0</xdr:rowOff>
    </xdr:from>
    <xdr:to>
      <xdr:col>12</xdr:col>
      <xdr:colOff>63500</xdr:colOff>
      <xdr:row>112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3">
              <a:extLst>
                <a:ext uri="{FF2B5EF4-FFF2-40B4-BE49-F238E27FC236}">
                  <a16:creationId xmlns:a16="http://schemas.microsoft.com/office/drawing/2014/main" id="{28E2B4B9-295E-40A6-88D5-CA214A1880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350" y="17494250"/>
              <a:ext cx="6737350" cy="3149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31750</xdr:colOff>
      <xdr:row>113</xdr:row>
      <xdr:rowOff>158750</xdr:rowOff>
    </xdr:from>
    <xdr:to>
      <xdr:col>12</xdr:col>
      <xdr:colOff>82550</xdr:colOff>
      <xdr:row>134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4">
              <a:extLst>
                <a:ext uri="{FF2B5EF4-FFF2-40B4-BE49-F238E27FC236}">
                  <a16:creationId xmlns:a16="http://schemas.microsoft.com/office/drawing/2014/main" id="{FAD96AA5-144D-4B2B-9386-37A8439711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350" y="20967700"/>
              <a:ext cx="6756400" cy="3714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67A468F-181B-4F71-BE4C-748F415B502C}" autoFormatId="16" applyNumberFormats="0" applyBorderFormats="0" applyFontFormats="0" applyPatternFormats="0" applyAlignmentFormats="0" applyWidthHeightFormats="0">
  <queryTableRefresh nextId="12" unboundColumnsRight="6">
    <queryTableFields count="11">
      <queryTableField id="1" name="Year" tableColumnId="1"/>
      <queryTableField id="7" dataBound="0" tableColumnId="7"/>
      <queryTableField id="2" name="Males" tableColumnId="2"/>
      <queryTableField id="3" name="Females" tableColumnId="3"/>
      <queryTableField id="4" name="CPI" tableColumnId="4"/>
      <queryTableField id="5" dataBound="0" tableColumnId="5"/>
      <queryTableField id="6" dataBound="0" tableColumnId="6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BED47E9-4DA2-4224-8909-0241452EB221}" autoFormatId="16" applyNumberFormats="0" applyBorderFormats="0" applyFontFormats="0" applyPatternFormats="0" applyAlignmentFormats="0" applyWidthHeightFormats="0">
  <queryTableRefresh nextId="154">
    <queryTableFields count="153">
      <queryTableField id="1" name="Year" tableColumnId="1"/>
      <queryTableField id="2" name="ABW" tableColumnId="2"/>
      <queryTableField id="3" name="AGO" tableColumnId="3"/>
      <queryTableField id="4" name="AIA" tableColumnId="4"/>
      <queryTableField id="5" name="ALB" tableColumnId="5"/>
      <queryTableField id="6" name="ARG" tableColumnId="6"/>
      <queryTableField id="7" name="ATG" tableColumnId="7"/>
      <queryTableField id="8" name="AUS" tableColumnId="8"/>
      <queryTableField id="9" name="AUT" tableColumnId="9"/>
      <queryTableField id="10" name="BDI" tableColumnId="10"/>
      <queryTableField id="11" name="BEL" tableColumnId="11"/>
      <queryTableField id="12" name="BEN" tableColumnId="12"/>
      <queryTableField id="13" name="BFA" tableColumnId="13"/>
      <queryTableField id="14" name="BGD" tableColumnId="14"/>
      <queryTableField id="15" name="BGR" tableColumnId="15"/>
      <queryTableField id="16" name="BHR" tableColumnId="16"/>
      <queryTableField id="17" name="BHS" tableColumnId="17"/>
      <queryTableField id="18" name="BLZ" tableColumnId="18"/>
      <queryTableField id="19" name="BMU" tableColumnId="19"/>
      <queryTableField id="20" name="BOL" tableColumnId="20"/>
      <queryTableField id="21" name="BRA" tableColumnId="21"/>
      <queryTableField id="22" name="BRB" tableColumnId="22"/>
      <queryTableField id="23" name="BTN" tableColumnId="23"/>
      <queryTableField id="24" name="BWA" tableColumnId="24"/>
      <queryTableField id="25" name="CAF" tableColumnId="25"/>
      <queryTableField id="26" name="CAN" tableColumnId="26"/>
      <queryTableField id="27" name="CHE" tableColumnId="27"/>
      <queryTableField id="28" name="CHL" tableColumnId="28"/>
      <queryTableField id="29" name="CHN" tableColumnId="29"/>
      <queryTableField id="30" name="CIV" tableColumnId="30"/>
      <queryTableField id="31" name="CMR" tableColumnId="31"/>
      <queryTableField id="32" name="COD" tableColumnId="32"/>
      <queryTableField id="33" name="COG" tableColumnId="33"/>
      <queryTableField id="34" name="COL" tableColumnId="34"/>
      <queryTableField id="35" name="COM" tableColumnId="35"/>
      <queryTableField id="36" name="CPV" tableColumnId="36"/>
      <queryTableField id="37" name="CRI" tableColumnId="37"/>
      <queryTableField id="38" name="CYM" tableColumnId="38"/>
      <queryTableField id="39" name="CYP" tableColumnId="39"/>
      <queryTableField id="40" name="DEU" tableColumnId="40"/>
      <queryTableField id="41" name="DJI" tableColumnId="41"/>
      <queryTableField id="42" name="DMA" tableColumnId="42"/>
      <queryTableField id="43" name="DNK" tableColumnId="43"/>
      <queryTableField id="44" name="DOM" tableColumnId="44"/>
      <queryTableField id="45" name="DZA" tableColumnId="45"/>
      <queryTableField id="46" name="ECU" tableColumnId="46"/>
      <queryTableField id="47" name="EGY" tableColumnId="47"/>
      <queryTableField id="48" name="ESP" tableColumnId="48"/>
      <queryTableField id="49" name="ETH" tableColumnId="49"/>
      <queryTableField id="50" name="FIN" tableColumnId="50"/>
      <queryTableField id="51" name="FJI" tableColumnId="51"/>
      <queryTableField id="52" name="FRA" tableColumnId="52"/>
      <queryTableField id="53" name="GAB" tableColumnId="53"/>
      <queryTableField id="54" name="GBR" tableColumnId="54"/>
      <queryTableField id="55" name="GHA" tableColumnId="55"/>
      <queryTableField id="56" name="GIN" tableColumnId="56"/>
      <queryTableField id="57" name="GMB" tableColumnId="57"/>
      <queryTableField id="58" name="GNB" tableColumnId="58"/>
      <queryTableField id="59" name="GNQ" tableColumnId="59"/>
      <queryTableField id="60" name="GRC" tableColumnId="60"/>
      <queryTableField id="61" name="GRD" tableColumnId="61"/>
      <queryTableField id="62" name="GTM" tableColumnId="62"/>
      <queryTableField id="63" name="HKG" tableColumnId="63"/>
      <queryTableField id="64" name="HND" tableColumnId="64"/>
      <queryTableField id="65" name="HTI" tableColumnId="65"/>
      <queryTableField id="66" name="HUN" tableColumnId="66"/>
      <queryTableField id="67" name="IDN" tableColumnId="67"/>
      <queryTableField id="68" name="IND" tableColumnId="68"/>
      <queryTableField id="69" name="IRL" tableColumnId="69"/>
      <queryTableField id="70" name="IRN" tableColumnId="70"/>
      <queryTableField id="71" name="IRQ" tableColumnId="71"/>
      <queryTableField id="72" name="ISL" tableColumnId="72"/>
      <queryTableField id="73" name="ISR" tableColumnId="73"/>
      <queryTableField id="74" name="ITA" tableColumnId="74"/>
      <queryTableField id="75" name="JAM" tableColumnId="75"/>
      <queryTableField id="76" name="JOR" tableColumnId="76"/>
      <queryTableField id="77" name="JPN" tableColumnId="77"/>
      <queryTableField id="78" name="KEN" tableColumnId="78"/>
      <queryTableField id="79" name="KHM" tableColumnId="79"/>
      <queryTableField id="80" name="KNA" tableColumnId="80"/>
      <queryTableField id="81" name="KOR" tableColumnId="81"/>
      <queryTableField id="82" name="KWT" tableColumnId="82"/>
      <queryTableField id="83" name="LAO" tableColumnId="83"/>
      <queryTableField id="84" name="LBN" tableColumnId="84"/>
      <queryTableField id="85" name="LBR" tableColumnId="85"/>
      <queryTableField id="86" name="LCA" tableColumnId="86"/>
      <queryTableField id="87" name="LKA" tableColumnId="87"/>
      <queryTableField id="88" name="LSO" tableColumnId="88"/>
      <queryTableField id="89" name="LUX" tableColumnId="89"/>
      <queryTableField id="90" name="MAR" tableColumnId="90"/>
      <queryTableField id="91" name="MDG" tableColumnId="91"/>
      <queryTableField id="92" name="MDV" tableColumnId="92"/>
      <queryTableField id="93" name="MEX" tableColumnId="93"/>
      <queryTableField id="94" name="MLI" tableColumnId="94"/>
      <queryTableField id="95" name="MLT" tableColumnId="95"/>
      <queryTableField id="96" name="MMR" tableColumnId="96"/>
      <queryTableField id="97" name="MNG" tableColumnId="97"/>
      <queryTableField id="98" name="MOZ" tableColumnId="98"/>
      <queryTableField id="99" name="MRT" tableColumnId="99"/>
      <queryTableField id="100" name="MSR" tableColumnId="100"/>
      <queryTableField id="101" name="MUS" tableColumnId="101"/>
      <queryTableField id="102" name="MWI" tableColumnId="102"/>
      <queryTableField id="103" name="MYS" tableColumnId="103"/>
      <queryTableField id="104" name="NAM" tableColumnId="104"/>
      <queryTableField id="105" name="NER" tableColumnId="105"/>
      <queryTableField id="106" name="NGA" tableColumnId="106"/>
      <queryTableField id="107" name="NIC" tableColumnId="107"/>
      <queryTableField id="108" name="NLD" tableColumnId="108"/>
      <queryTableField id="109" name="NOR" tableColumnId="109"/>
      <queryTableField id="110" name="NPL" tableColumnId="110"/>
      <queryTableField id="111" name="NZL" tableColumnId="111"/>
      <queryTableField id="112" name="OMN" tableColumnId="112"/>
      <queryTableField id="113" name="PAK" tableColumnId="113"/>
      <queryTableField id="114" name="PAN" tableColumnId="114"/>
      <queryTableField id="115" name="PER" tableColumnId="115"/>
      <queryTableField id="116" name="PHL" tableColumnId="116"/>
      <queryTableField id="117" name="POL" tableColumnId="117"/>
      <queryTableField id="118" name="PRT" tableColumnId="118"/>
      <queryTableField id="119" name="PRY" tableColumnId="119"/>
      <queryTableField id="120" name="PSE" tableColumnId="120"/>
      <queryTableField id="121" name="ROU" tableColumnId="121"/>
      <queryTableField id="122" name="RWA" tableColumnId="122"/>
      <queryTableField id="123" name="SAU" tableColumnId="123"/>
      <queryTableField id="124" name="SDN" tableColumnId="124"/>
      <queryTableField id="125" name="SEN" tableColumnId="125"/>
      <queryTableField id="126" name="SGP" tableColumnId="126"/>
      <queryTableField id="127" name="SLE" tableColumnId="127"/>
      <queryTableField id="128" name="SLV" tableColumnId="128"/>
      <queryTableField id="129" name="STP" tableColumnId="129"/>
      <queryTableField id="130" name="SUR" tableColumnId="130"/>
      <queryTableField id="131" name="SWE" tableColumnId="131"/>
      <queryTableField id="132" name="SWZ" tableColumnId="132"/>
      <queryTableField id="133" name="SYC" tableColumnId="133"/>
      <queryTableField id="134" name="SYR" tableColumnId="134"/>
      <queryTableField id="135" name="TCA" tableColumnId="135"/>
      <queryTableField id="136" name="TCD" tableColumnId="136"/>
      <queryTableField id="137" name="TGO" tableColumnId="137"/>
      <queryTableField id="138" name="THA" tableColumnId="138"/>
      <queryTableField id="139" name="TTO" tableColumnId="139"/>
      <queryTableField id="140" name="TUN" tableColumnId="140"/>
      <queryTableField id="141" name="TUR" tableColumnId="141"/>
      <queryTableField id="142" name="TWN" tableColumnId="142"/>
      <queryTableField id="143" name="TZA" tableColumnId="143"/>
      <queryTableField id="144" name="UGA" tableColumnId="144"/>
      <queryTableField id="145" name="URY" tableColumnId="145"/>
      <queryTableField id="146" name="USA" tableColumnId="146"/>
      <queryTableField id="147" name="VCT" tableColumnId="147"/>
      <queryTableField id="148" name="VEN" tableColumnId="148"/>
      <queryTableField id="149" name="VGB" tableColumnId="149"/>
      <queryTableField id="150" name="VNM" tableColumnId="150"/>
      <queryTableField id="151" name="ZAF" tableColumnId="151"/>
      <queryTableField id="152" name="ZMB" tableColumnId="152"/>
      <queryTableField id="153" name="ZWE" tableColumnId="15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76DD295-C902-4CE8-AC86-5BCF69AFF626}" autoFormatId="16" applyNumberFormats="0" applyBorderFormats="0" applyFontFormats="0" applyPatternFormats="0" applyAlignmentFormats="0" applyWidthHeightFormats="0">
  <queryTableRefresh nextId="8">
    <queryTableFields count="7">
      <queryTableField id="1" name="Assigned number" tableColumnId="1"/>
      <queryTableField id="2" name="Country 1" tableColumnId="2"/>
      <queryTableField id="3" name="Country 2" tableColumnId="3"/>
      <queryTableField id="4" name="Country 3" tableColumnId="4"/>
      <queryTableField id="5" name="Country 4" tableColumnId="5"/>
      <queryTableField id="6" name="Year 1" tableColumnId="6"/>
      <queryTableField id="7" name="Year 2" tableColumnId="7"/>
    </queryTableFields>
  </queryTableRefresh>
</queryTable>
</file>

<file path=xl/richData/_rels/rdRichValueWebImage.xml.rels><?xml version="1.0" encoding="UTF-8" standalone="yes"?>
<Relationships xmlns="http://schemas.openxmlformats.org/package/2006/relationships"><Relationship Id="rId8" Type="http://schemas.openxmlformats.org/officeDocument/2006/relationships/hyperlink" Target="https://mswolfram-prod-tm.office.net/webKernel/active/PodImage.api?input=wjson%7B%22t%22%3A%22e%22%2C%22d%22%3A%22Country%22%2C%22e%22%3A%22SaudiArabia%22%7D&amp;ca=1%3AeJxTTMoPCuZhYGAwNDPTM7HQM9EzMjADAC4yBAM%3D&amp;includepodid=Location%3ACountryData&amp;subpodindex=1&amp;numberofsubpods=1&amp;width=1000&amp;scantimeout=10&amp;podtimeout=10&amp;formattimeout=10&amp;parsetimeout=10" TargetMode="External"/><Relationship Id="rId3" Type="http://schemas.openxmlformats.org/officeDocument/2006/relationships/hyperlink" Target="https://mswolfram-cdn-prod.office.net/waimage/hset006/a2d/a2d3f5a0e8b2ccb4d127592a10f5fe6c_v001ms.png" TargetMode="External"/><Relationship Id="rId7" Type="http://schemas.openxmlformats.org/officeDocument/2006/relationships/hyperlink" Target="https://mswolfram-cdn-prod.office.net/waimage/hset006/071/07171f119cd4b257f457f600acfbcb1a_v001ms.png" TargetMode="External"/><Relationship Id="rId2" Type="http://schemas.openxmlformats.org/officeDocument/2006/relationships/hyperlink" Target="https://mswolfram-prod-tm.office.net/webKernel/active/PodImage.api?input=wjson%7B%22t%22%3A%22e%22%2C%22d%22%3A%22Country%22%2C%22e%22%3A%22Bahamas%22%7D&amp;ca=1%3AeJxTTMoPCuZhYGAwNDPTM7HQM9EzMjADAC4yBAM%3D&amp;includepodid=Location%3ACountryData&amp;subpodindex=1&amp;numberofsubpods=1&amp;width=1000&amp;scantimeout=10&amp;podtimeout=10&amp;formattimeout=10&amp;parsetimeout=10" TargetMode="External"/><Relationship Id="rId1" Type="http://schemas.openxmlformats.org/officeDocument/2006/relationships/hyperlink" Target="https://mswolfram-cdn-prod.office.net/waimage/hset006/f5c/f5c57c49462e6a2acbcb1384fed45d79_v001ms.png" TargetMode="External"/><Relationship Id="rId6" Type="http://schemas.openxmlformats.org/officeDocument/2006/relationships/hyperlink" Target="https://mswolfram-prod-tm.office.net/webKernel/active/PodImage.api?input=wjson%7B%22t%22%3A%22e%22%2C%22d%22%3A%22Country%22%2C%22e%22%3A%22Egypt%22%7D&amp;ca=1%3AeJxTTMoPCuZhYGAwNDPTM7HQM9EzMjADAC4yBAM%3D&amp;includepodid=Location%3ACountryData&amp;subpodindex=1&amp;numberofsubpods=1&amp;width=1000&amp;scantimeout=10&amp;podtimeout=10&amp;formattimeout=10&amp;parsetimeout=10" TargetMode="External"/><Relationship Id="rId5" Type="http://schemas.openxmlformats.org/officeDocument/2006/relationships/hyperlink" Target="https://mswolfram-cdn-prod.office.net/waimage/hset006/410/41003a2fa5c5b37bb988d3d9da15fade_v001ms.png" TargetMode="External"/><Relationship Id="rId4" Type="http://schemas.openxmlformats.org/officeDocument/2006/relationships/hyperlink" Target="https://mswolfram-prod-tm.office.net/webKernel/active/PodImage.api?input=wjson%7B%22t%22%3A%22e%22%2C%22d%22%3A%22Country%22%2C%22e%22%3A%22CaymanIslands%22%7D&amp;ca=1%3AeJxTTMoPCuZhYGAwNDPTM7HQM9EzMjADAC4yBAM%3D&amp;includepodid=Location%3ACountryData&amp;subpodindex=1&amp;numberofsubpods=1&amp;width=1000&amp;scantimeout=10&amp;podtimeout=10&amp;formattimeout=10&amp;parsetimeout=10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2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2core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DataRetrievedTime">
          <flag name="ShowInCardView" value="0"/>
          <flag name="ShowInDotNotation" value="0"/>
          <flag name="ShowInAutoComplete" value="0"/>
          <flag name="ExcludeFromCalcComparison" value="1"/>
        </key>
        <key name="%EntityDomainIdString">
          <flag name="ShowInCardView" value="0"/>
          <flag name="ShowInDotNotation" value="0"/>
          <flag name="ShowInAutoComplete" value="0"/>
        </key>
        <key name="%InfoToolTipLabelNames">
          <flag name="ShowInCardView" value="0"/>
          <flag name="ShowInDotNotation" value="0"/>
          <flag name="ShowInAutoComplete" value="0"/>
        </key>
        <key name="%InfoToolTipLabelValues">
          <flag name="ShowInCardView" value="0"/>
          <flag name="ShowInDotNotation" value="0"/>
          <flag name="ShowInAutoComplete" value="0"/>
        </key>
        <key name="%InfoToolTipLabelValuesType">
          <flag name="ShowInCardView" value="0"/>
          <flag name="ShowInDotNotation" value="0"/>
          <flag name="ShowInAutoComplete" value="0"/>
        </key>
        <key name="%DataProviderString">
          <flag name="ShowInCardView" value="0"/>
          <flag name="ShowInDotNotation" value="0"/>
          <flag name="ShowInAutoComplete" value="0"/>
        </key>
        <key name="%ClassificationId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</webImageSrd>
  <webImageSrd>
    <address r:id="rId2"/>
  </webImageSrd>
  <webImageSrd>
    <address r:id="rId3"/>
  </webImageSrd>
  <webImageSrd>
    <address r:id="rId4"/>
  </webImageSrd>
  <webImageSrd>
    <address r:id="rId5"/>
  </webImageSrd>
  <webImageSrd>
    <address r:id="rId6"/>
  </webImageSrd>
  <webImageSrd>
    <address r:id="rId7"/>
  </webImageSrd>
  <webImageSrd>
    <address r:id="rId8"/>
  </webImageSrd>
</webImagesSrd>
</file>

<file path=xl/richData/rdarray.xml><?xml version="1.0" encoding="utf-8"?>
<arrayData xmlns="http://schemas.microsoft.com/office/spreadsheetml/2017/richdata2" count="34">
  <a r="1">
    <v t="s">The Bahamas</v>
  </a>
  <a r="3">
    <v t="r">15</v>
    <v t="r">17</v>
    <v t="r">19</v>
  </a>
  <a r="2">
    <v t="r">38</v>
    <v t="r">41</v>
  </a>
  <a r="5">
    <v t="r">7</v>
    <v t="r">43</v>
    <v t="r">44</v>
    <v t="r">45</v>
    <v t="r">46</v>
  </a>
  <a r="4">
    <v t="s">arable land</v>
    <v t="s">aragonite</v>
    <v t="s">salt</v>
    <v t="s">timber</v>
  </a>
  <a r="33">
    <v t="r">63</v>
    <v t="r">64</v>
    <v t="r">65</v>
    <v t="r">66</v>
    <v t="r">67</v>
    <v t="r">68</v>
    <v t="r">69</v>
    <v t="r">70</v>
    <v t="r">71</v>
    <v t="r">72</v>
    <v t="r">73</v>
    <v t="r">74</v>
    <v t="r">75</v>
    <v t="r">76</v>
    <v t="r">77</v>
    <v t="r">78</v>
    <v t="r">79</v>
    <v t="r">80</v>
    <v t="r">81</v>
    <v t="r">82</v>
    <v t="r">83</v>
    <v t="r">84</v>
    <v t="r">85</v>
    <v t="r">86</v>
    <v t="r">87</v>
    <v t="r">88</v>
    <v t="r">89</v>
    <v t="r">90</v>
    <v t="r">91</v>
    <v t="r">92</v>
    <v t="r">93</v>
    <v t="r">94</v>
    <v t="r">95</v>
  </a>
  <a r="5">
    <v t="r">98</v>
    <v t="r">100</v>
    <v t="r">102</v>
    <v t="r">104</v>
    <v t="r">106</v>
  </a>
  <a r="1">
    <v t="s">America/Nassau</v>
  </a>
  <a r="1">
    <v t="s">The Caymans</v>
  </a>
  <a r="3">
    <v t="r">132</v>
    <v t="r">134</v>
    <v t="r">135</v>
  </a>
  <a r="2">
    <v t="r">147</v>
    <v t="r">150</v>
  </a>
  <a r="5">
    <v t="r">128</v>
    <v t="r">152</v>
    <v t="r">153</v>
    <v t="r">154</v>
    <v t="r">155</v>
  </a>
  <a r="3">
    <v t="s">beaches</v>
    <v t="s">climate</v>
    <v t="s">fish</v>
  </a>
  <a r="6">
    <v t="r">170</v>
    <v t="r">171</v>
    <v t="r">172</v>
    <v t="r">173</v>
    <v t="r">174</v>
    <v t="r">175</v>
  </a>
  <a r="6">
    <v t="r">178</v>
    <v t="r">180</v>
    <v t="r">182</v>
    <v t="r">184</v>
    <v t="r">186</v>
    <v t="r">188</v>
  </a>
  <a r="1">
    <v t="s">America/Cayman</v>
  </a>
  <a r="4">
    <v t="r">208</v>
    <v t="r">209</v>
    <v t="r">210</v>
    <v t="r">211</v>
  </a>
  <a r="2">
    <v t="r">221</v>
    <v t="r">223</v>
  </a>
  <a r="9">
    <v t="r">243</v>
    <v t="r">246</v>
    <v t="r">249</v>
    <v t="r">252</v>
    <v t="r">255</v>
    <v t="r">258</v>
    <v t="r">261</v>
    <v t="r">264</v>
    <v t="r">267</v>
  </a>
  <a r="5">
    <v t="r">213</v>
    <v t="r">269</v>
    <v t="r">270</v>
    <v t="r">271</v>
    <v t="r">272</v>
  </a>
  <a r="11">
    <v t="s">asbestos</v>
    <v t="s">gypsum</v>
    <v t="s">iron</v>
    <v t="s">lead</v>
    <v t="s">manganese</v>
    <v t="s">natural gas</v>
    <v t="s">oil</v>
    <v t="s">phosphates</v>
    <v t="s">stone</v>
    <v t="s">talc</v>
    <v t="s">zinc</v>
  </a>
  <a r="27">
    <v t="r">289</v>
    <v t="r">290</v>
    <v t="r">291</v>
    <v t="r">292</v>
    <v t="r">293</v>
    <v t="r">294</v>
    <v t="r">295</v>
    <v t="r">296</v>
    <v t="r">297</v>
    <v t="r">298</v>
    <v t="r">299</v>
    <v t="r">300</v>
    <v t="r">301</v>
    <v t="r">302</v>
    <v t="r">303</v>
    <v t="r">304</v>
    <v t="r">305</v>
    <v t="r">306</v>
    <v t="r">307</v>
    <v t="r">308</v>
    <v t="r">309</v>
    <v t="r">310</v>
    <v t="r">311</v>
    <v t="r">312</v>
    <v t="r">313</v>
    <v t="r">314</v>
    <v t="r">315</v>
  </a>
  <a r="5">
    <v t="r">318</v>
    <v t="r">320</v>
    <v t="r">322</v>
    <v t="r">324</v>
    <v t="r">326</v>
  </a>
  <a r="4">
    <v t="r">332</v>
    <v t="r">334</v>
    <v t="r">336</v>
    <v t="r">338</v>
  </a>
  <a r="1">
    <v t="s">Africa/Cairo</v>
  </a>
  <a r="7">
    <v t="r">356</v>
    <v t="r">357</v>
    <v t="r">358</v>
    <v t="r">359</v>
    <v t="r">360</v>
    <v t="r">361</v>
    <v t="r">362</v>
  </a>
  <a r="2">
    <v t="r">372</v>
    <v t="r">374</v>
  </a>
  <a r="4">
    <v t="r">392</v>
    <v t="r">395</v>
    <v t="r">398</v>
    <v t="r">401</v>
  </a>
  <a r="5">
    <v t="r">364</v>
    <v t="r">403</v>
    <v t="r">404</v>
    <v t="r">405</v>
    <v t="r">406</v>
  </a>
  <a r="5">
    <v t="s">copper</v>
    <v t="s">gold</v>
    <v t="s">iron</v>
    <v t="s">natural gas</v>
    <v t="s">oil</v>
  </a>
  <a r="13">
    <v t="r">423</v>
    <v t="r">424</v>
    <v t="r">425</v>
    <v t="r">426</v>
    <v t="r">427</v>
    <v t="r">428</v>
    <v t="r">429</v>
    <v t="r">430</v>
    <v t="r">431</v>
    <v t="r">432</v>
    <v t="r">433</v>
    <v t="r">434</v>
    <v t="r">435</v>
  </a>
  <a r="8">
    <v t="r">438</v>
    <v t="r">440</v>
    <v t="r">442</v>
    <v t="r">444</v>
    <v t="r">446</v>
    <v t="r">448</v>
    <v t="r">450</v>
    <v t="r">452</v>
  </a>
  <a r="7">
    <v t="r">458</v>
    <v t="r">460</v>
    <v t="r">462</v>
    <v t="r">464</v>
    <v t="r">466</v>
    <v t="r">468</v>
    <v t="r">470</v>
  </a>
  <a r="1">
    <v t="s">Asia/Riyadh</v>
  </a>
</arrayData>
</file>

<file path=xl/richData/rdrichvalue.xml><?xml version="1.0" encoding="utf-8"?>
<rvData xmlns="http://schemas.microsoft.com/office/spreadsheetml/2017/richdata" count="482">
  <rv s="0">
    <v>536871168</v>
    <v>Bahamas</v>
    <v>wjson{"t":"e","d":"Country","e":"Bahamas"}</v>
    <v>en-CA</v>
    <v>City</v>
  </rv>
  <rv s="1">
    <v>0</v>
  </rv>
  <rv s="2">
    <fb>5581</fb>
    <v>23</v>
  </rv>
  <rv s="2">
    <fb>2545</fb>
    <v>23</v>
  </rv>
  <rv s="2">
    <fb>7.992007992007992E-3</fb>
    <v>24</v>
  </rv>
  <rv s="2">
    <fb>3.64</fb>
    <v>25</v>
  </rv>
  <rv s="2">
    <fb>1.81</fb>
    <v>25</v>
  </rv>
  <rv s="0">
    <v>536871168</v>
    <v>Nassau</v>
    <v>wjson{"t":"e","d":"City","e":["Nassau","NewProvidence","Bahamas"]}</v>
    <v>en-CA</v>
    <v>City</v>
  </rv>
  <rv s="2">
    <fb>3542</fb>
    <v>26</v>
  </rv>
  <rv s="2">
    <fb>2.4912352736805499</fb>
    <v>25</v>
  </rv>
  <rv s="2">
    <fb>189119</fb>
    <v>23</v>
  </rv>
  <rv s="2">
    <fb>4538</fb>
    <v>23</v>
  </rv>
  <rv s="2">
    <fb>29869</fb>
    <v>23</v>
  </rv>
  <rv s="2">
    <fb>171849</fb>
    <v>23</v>
  </rv>
  <rv s="2">
    <fb>0.85</fb>
    <v>29</v>
  </rv>
  <rv s="3">
    <v>27</v>
    <v>Black (85.%)</v>
    <v>28</v>
    <v>black</v>
    <v>14</v>
    <v>Black (85.%)</v>
  </rv>
  <rv s="2">
    <fb>0.12</fb>
    <v>29</v>
  </rv>
  <rv s="3">
    <v>27</v>
    <v>White (12.%)</v>
    <v>28</v>
    <v>white</v>
    <v>16</v>
    <v>White (12.%)</v>
  </rv>
  <rv s="2">
    <fb>0.03</fb>
    <v>30</v>
  </rv>
  <rv s="3">
    <v>27</v>
    <v>Asian Hispanic (3.%)</v>
    <v>28</v>
    <v>Asian Hispanic</v>
    <v>18</v>
    <v>Asian Hispanic (3.%)</v>
  </rv>
  <rv s="1">
    <v>1</v>
  </rv>
  <rv s="2">
    <fb>82295</fb>
    <v>23</v>
  </rv>
  <rv s="4">
    <v>0</v>
    <v>6</v>
    <v>31</v>
    <v>0</v>
    <v>flag of Bahamas</v>
  </rv>
  <rv s="2">
    <fb>13578800000</fb>
    <v>32</v>
  </rv>
  <rv s="2">
    <fb>15089524205.6577</fb>
    <v>32</v>
  </rv>
  <rv s="2">
    <fb>34863.742098479503</fb>
    <v>33</v>
  </rv>
  <rv s="2">
    <fb>1.21787385742007</fb>
    <v>25</v>
  </rv>
  <rv s="2">
    <fb>3.2000000000000001E-2</fb>
    <v>30</v>
  </rv>
  <rv s="2">
    <fb>0.71499999999999997</fb>
    <v>29</v>
  </rv>
  <rv s="2">
    <fb>0.85499999999999998</fb>
    <v>29</v>
  </rv>
  <rv s="2">
    <fb>0.81200000000000006</fb>
    <v>29</v>
  </rv>
  <rv s="2">
    <fb>0.79200000000000004</fb>
    <v>29</v>
  </rv>
  <rv s="2">
    <fb>331060</fb>
    <v>23</v>
  </rv>
  <rv s="2">
    <fb>160549</fb>
    <v>23</v>
  </rv>
  <rv s="2">
    <fb>220959</fb>
    <v>23</v>
  </rv>
  <rv s="2">
    <fb>10010</fb>
    <v>34</v>
  </rv>
  <rv s="2">
    <fb>0.67918992263272127</fb>
    <v>26</v>
  </rv>
  <rv s="0">
    <v>-1879047936</v>
    <v>Bahamas Creole English</v>
    <v>wjson{"t":"e","d":"Language","e":"BahamasCreoleEnglish::x943n"}</v>
    <v>en-CA</v>
    <v>Languages</v>
  </rv>
  <rv s="5">
    <v>35</v>
    <v>Bahamas Creole English (67.919%)</v>
    <v>28</v>
    <v>36</v>
    <v>37</v>
    <v>Bahamas Creole English (67.919%)</v>
  </rv>
  <rv s="2">
    <fb>0.14881805860352515</fb>
    <v>26</v>
  </rv>
  <rv s="0">
    <v>-1879047936</v>
    <v>English</v>
    <v>wjson{"t":"e","d":"Language","e":"English::385w8"}</v>
    <v>en-CA</v>
    <v>Languages</v>
  </rv>
  <rv s="5">
    <v>35</v>
    <v>English (14.882%)</v>
    <v>28</v>
    <v>39</v>
    <v>40</v>
    <v>English (14.882%)</v>
  </rv>
  <rv s="1">
    <v>2</v>
  </rv>
  <rv s="0">
    <v>536871168</v>
    <v>Freeport</v>
    <v>wjson{"t":"e","d":"City","e":["Freeport","WestGrandBahama","Bahamas"]}</v>
    <v>en-CA</v>
    <v>City</v>
  </rv>
  <rv s="0">
    <v>536871168</v>
    <v>West End</v>
    <v>wjson{"t":"e","d":"City","e":["WestEnd","WestGrandBahama","Bahamas"]}</v>
    <v>en-CA</v>
    <v>City</v>
  </rv>
  <rv s="0">
    <v>536871168</v>
    <v>Coopers Town</v>
    <v>wjson{"t":"e","d":"City","e":["CoopersTown","NorthAbaco","Bahamas"]}</v>
    <v>en-CA</v>
    <v>City</v>
  </rv>
  <rv s="0">
    <v>536871168</v>
    <v>Marsh Harbour</v>
    <v>wjson{"t":"e","d":"City","e":["MarshHarbour","CentralAbaco","Bahamas"]}</v>
    <v>en-CA</v>
    <v>City</v>
  </rv>
  <rv s="1">
    <v>3</v>
  </rv>
  <rv s="2">
    <fb>72.900000000000006</fb>
    <v>36</v>
  </rv>
  <rv s="2">
    <fb>0.95599999999999996</fb>
    <v>37</v>
  </rv>
  <rv s="4">
    <v>1</v>
    <v>6</v>
    <v>38</v>
    <v>1</v>
    <v>location map of Bahamas</v>
  </rv>
  <rv s="2">
    <fb>4.7025000000000004E-2</fb>
    <v>39</v>
  </rv>
  <rv s="2">
    <fb>32.517000000000003</fb>
    <v>36</v>
  </rv>
  <rv s="2">
    <fb>425507</fb>
    <v>23</v>
  </rv>
  <rv s="1">
    <v>4</v>
  </rv>
  <rv s="2">
    <fb>1.07E-3</fb>
    <v>40</v>
  </rv>
  <rv s="2">
    <fb>393248</fb>
    <v>23</v>
  </rv>
  <rv s="2">
    <fb>38.909690309690298</fb>
    <v>36</v>
  </rv>
  <rv s="2">
    <fb>0.99133593530556297</fb>
    <v>29</v>
  </rv>
  <rv s="2">
    <fb>29504</fb>
    <v>23</v>
  </rv>
  <rv s="2">
    <fb>19.448910000000001</fb>
    <v>36</v>
  </rv>
  <rv s="2">
    <fb>2.2328400611877401E-2</fb>
    <v>39</v>
  </rv>
  <rv s="2">
    <fb>11259359315.796101</fb>
    <v>32</v>
  </rv>
  <rv s="0">
    <v>536871168</v>
    <v>Acklins, Bahamas</v>
    <v>wjson{"t":"e","d":"AdministrativeDivision","e":["Acklins","Bahamas"]}</v>
    <v>en-CA</v>
    <v>City</v>
  </rv>
  <rv s="0">
    <v>536871168</v>
    <v>Berry Islands, Bahamas</v>
    <v>wjson{"t":"e","d":"AdministrativeDivision","e":["BerryIslands","Bahamas"]}</v>
    <v>en-CA</v>
    <v>City</v>
  </rv>
  <rv s="0">
    <v>536871168</v>
    <v>Biminis, Bahamas</v>
    <v>wjson{"t":"e","d":"AdministrativeDivision","e":["Bimini","Bahamas"]}</v>
    <v>en-CA</v>
    <v>City</v>
  </rv>
  <rv s="0">
    <v>536871168</v>
    <v>Black Point, Bahamas</v>
    <v>wjson{"t":"e","d":"AdministrativeDivision","e":["BlackPoint","Bahamas"]}</v>
    <v>en-CA</v>
    <v>City</v>
  </rv>
  <rv s="0">
    <v>536871168</v>
    <v>Cat Island, Bahamas</v>
    <v>wjson{"t":"e","d":"AdministrativeDivision","e":["CatIsland","Bahamas"]}</v>
    <v>en-CA</v>
    <v>City</v>
  </rv>
  <rv s="0">
    <v>536871168</v>
    <v>Central Abaco, Bahamas</v>
    <v>wjson{"t":"e","d":"AdministrativeDivision","e":["CentralAbaco","Bahamas"]}</v>
    <v>en-CA</v>
    <v>City</v>
  </rv>
  <rv s="0">
    <v>536871168</v>
    <v>Central Andros, Bahamas</v>
    <v>wjson{"t":"e","d":"AdministrativeDivision","e":["CentralAndros","Bahamas"]}</v>
    <v>en-CA</v>
    <v>City</v>
  </rv>
  <rv s="0">
    <v>536871168</v>
    <v>Central Eleuthera, Bahamas</v>
    <v>wjson{"t":"e","d":"AdministrativeDivision","e":["CentralEleuthera","Bahamas"]}</v>
    <v>en-CA</v>
    <v>City</v>
  </rv>
  <rv s="0">
    <v>536871168</v>
    <v>City of Freeport, Bahamas</v>
    <v>wjson{"t":"e","d":"AdministrativeDivision","e":["CityOfFreeport","Bahamas"]}</v>
    <v>en-CA</v>
    <v>City</v>
  </rv>
  <rv s="0">
    <v>536871168</v>
    <v>Crooked Island, Bahamas</v>
    <v>wjson{"t":"e","d":"AdministrativeDivision","e":["CrookedIsland","Bahamas"]}</v>
    <v>en-CA</v>
    <v>City</v>
  </rv>
  <rv s="0">
    <v>536871168</v>
    <v>East Grand Bahama, Bahamas</v>
    <v>wjson{"t":"e","d":"AdministrativeDivision","e":["EastGrandBahama","Bahamas"]}</v>
    <v>en-CA</v>
    <v>City</v>
  </rv>
  <rv s="0">
    <v>536871168</v>
    <v>Exuma, Bahamas</v>
    <v>wjson{"t":"e","d":"AdministrativeDivision","e":["Exuma","Bahamas"]}</v>
    <v>en-CA</v>
    <v>City</v>
  </rv>
  <rv s="0">
    <v>536871168</v>
    <v>Grand Cay, Bahamas</v>
    <v>wjson{"t":"e","d":"AdministrativeDivision","e":["GrandCay","Bahamas"]}</v>
    <v>en-CA</v>
    <v>City</v>
  </rv>
  <rv s="0">
    <v>536871168</v>
    <v>Green Turtle Cay, Bahamas</v>
    <v>wjson{"t":"e","d":"AdministrativeDivision","e":["GreenTurtleCay","Bahamas"]}</v>
    <v>en-CA</v>
    <v>City</v>
  </rv>
  <rv s="0">
    <v>536871168</v>
    <v>Harbour Island, Bahamas</v>
    <v>wjson{"t":"e","d":"AdministrativeDivision","e":["HarbourIsland","Bahamas"]}</v>
    <v>en-CA</v>
    <v>City</v>
  </rv>
  <rv s="0">
    <v>536871168</v>
    <v>Hope Town, Bahamas</v>
    <v>wjson{"t":"e","d":"AdministrativeDivision","e":["HopeTown","Bahamas"]}</v>
    <v>en-CA</v>
    <v>City</v>
  </rv>
  <rv s="0">
    <v>536871168</v>
    <v>Inagua, Bahamas</v>
    <v>wjson{"t":"e","d":"AdministrativeDivision","e":["Inagua","Bahamas"]}</v>
    <v>en-CA</v>
    <v>City</v>
  </rv>
  <rv s="0">
    <v>536871168</v>
    <v>Long Island, Bahamas</v>
    <v>wjson{"t":"e","d":"AdministrativeDivision","e":["LongIsland","Bahamas"]}</v>
    <v>en-CA</v>
    <v>City</v>
  </rv>
  <rv s="0">
    <v>536871168</v>
    <v>Mangrove Cay, Bahamas</v>
    <v>wjson{"t":"e","d":"AdministrativeDivision","e":["MangroveCay","Bahamas"]}</v>
    <v>en-CA</v>
    <v>City</v>
  </rv>
  <rv s="0">
    <v>536871168</v>
    <v>Mayaguana, Bahamas</v>
    <v>wjson{"t":"e","d":"AdministrativeDivision","e":["Mayaguana","Bahamas"]}</v>
    <v>en-CA</v>
    <v>City</v>
  </rv>
  <rv s="0">
    <v>536871168</v>
    <v>Moore's Island, Bahamas</v>
    <v>wjson{"t":"e","d":"AdministrativeDivision","e":["MooresIsland","Bahamas"]}</v>
    <v>en-CA</v>
    <v>City</v>
  </rv>
  <rv s="0">
    <v>536871168</v>
    <v>New Providence, Bahamas</v>
    <v>wjson{"t":"e","d":"AdministrativeDivision","e":["NewProvidence","Bahamas"]}</v>
    <v>en-CA</v>
    <v>City</v>
  </rv>
  <rv s="0">
    <v>536871168</v>
    <v>North Abaco, Bahamas</v>
    <v>wjson{"t":"e","d":"AdministrativeDivision","e":["NorthAbaco","Bahamas"]}</v>
    <v>en-CA</v>
    <v>City</v>
  </rv>
  <rv s="0">
    <v>536871168</v>
    <v>North Andros, Bahamas</v>
    <v>wjson{"t":"e","d":"AdministrativeDivision","e":["NorthAndros","Bahamas"]}</v>
    <v>en-CA</v>
    <v>City</v>
  </rv>
  <rv s="0">
    <v>536871168</v>
    <v>North Eleuthera, Bahamas</v>
    <v>wjson{"t":"e","d":"AdministrativeDivision","e":["NorthEleuthera","Bahamas"]}</v>
    <v>en-CA</v>
    <v>City</v>
  </rv>
  <rv s="0">
    <v>536871168</v>
    <v>Ragged Island, Bahamas</v>
    <v>wjson{"t":"e","d":"AdministrativeDivision","e":["RaggedIsland","Bahamas"]}</v>
    <v>en-CA</v>
    <v>City</v>
  </rv>
  <rv s="0">
    <v>536871168</v>
    <v>Rum Cay, Bahamas</v>
    <v>wjson{"t":"e","d":"AdministrativeDivision","e":["RumCay","Bahamas"]}</v>
    <v>en-CA</v>
    <v>City</v>
  </rv>
  <rv s="0">
    <v>536871168</v>
    <v>San Salvador, Bahamas</v>
    <v>wjson{"t":"e","d":"AdministrativeDivision","e":["SanSalvador","Bahamas"]}</v>
    <v>en-CA</v>
    <v>City</v>
  </rv>
  <rv s="0">
    <v>536871168</v>
    <v>South Abaco, Bahamas</v>
    <v>wjson{"t":"e","d":"AdministrativeDivision","e":["SouthAbaco","Bahamas"]}</v>
    <v>en-CA</v>
    <v>City</v>
  </rv>
  <rv s="0">
    <v>536871168</v>
    <v>South Andros, Bahamas</v>
    <v>wjson{"t":"e","d":"AdministrativeDivision","e":["SouthAndros","Bahamas"]}</v>
    <v>en-CA</v>
    <v>City</v>
  </rv>
  <rv s="0">
    <v>536871168</v>
    <v>South Eleuthera, Bahamas</v>
    <v>wjson{"t":"e","d":"AdministrativeDivision","e":["SouthEleuthera","Bahamas"]}</v>
    <v>en-CA</v>
    <v>City</v>
  </rv>
  <rv s="0">
    <v>536871168</v>
    <v>Spanish Wells, Bahamas</v>
    <v>wjson{"t":"e","d":"AdministrativeDivision","e":["SpanishWells","Bahamas"]}</v>
    <v>en-CA</v>
    <v>City</v>
  </rv>
  <rv s="0">
    <v>536871168</v>
    <v>West Grand Bahama, Bahamas</v>
    <v>wjson{"t":"e","d":"AdministrativeDivision","e":["WestGrandBahama","Bahamas"]}</v>
    <v>en-CA</v>
    <v>City</v>
  </rv>
  <rv s="1">
    <v>5</v>
  </rv>
  <rv s="2">
    <fb>0.91682208014969591</fb>
    <v>29</v>
  </rv>
  <rv s="6">
    <v>41</v>
    <v>Christianity (91.682%)</v>
    <v>28</v>
    <v>97</v>
    <v>Christianity (91.682%)</v>
    <v>Christianity</v>
  </rv>
  <rv s="2">
    <fb>1.8228598159987525E-2</fb>
    <v>30</v>
  </rv>
  <rv s="6">
    <v>41</v>
    <v>Spiritism (1.823%)</v>
    <v>28</v>
    <v>99</v>
    <v>Spiritism (1.823%)</v>
    <v>Spiritism</v>
  </rv>
  <rv s="2">
    <fb>4.0012474660845159E-3</fb>
    <v>40</v>
  </rv>
  <rv s="6">
    <v>41</v>
    <v>Bahá'í Faith (0.4%)</v>
    <v>28</v>
    <v>101</v>
    <v>Bahá'í Faith (0.4%)</v>
    <v>Bahá'í Faith</v>
  </rv>
  <rv s="2">
    <fb>2.9907999376266956E-3</fb>
    <v>40</v>
  </rv>
  <rv s="6">
    <v>41</v>
    <v>Judaism (0.299%)</v>
    <v>28</v>
    <v>103</v>
    <v>Judaism (0.299%)</v>
    <v>Judaism</v>
  </rv>
  <rv s="2">
    <fb>5.987837205675971E-4</fb>
    <v>42</v>
  </rv>
  <rv s="6">
    <v>41</v>
    <v>Chinese Universism (0.06%)</v>
    <v>28</v>
    <v>105</v>
    <v>Chinese Universism (0.06%)</v>
    <v>Chinese Universism</v>
  </rv>
  <rv s="1">
    <v>6</v>
  </rv>
  <rv s="2">
    <fb>26884</fb>
    <v>23</v>
  </rv>
  <rv s="2">
    <fb>12.480969999999999</fb>
    <v>36</v>
  </rv>
  <rv s="2">
    <fb>496</fb>
    <v>23</v>
  </rv>
  <rv s="2">
    <fb>91129</fb>
    <v>23</v>
  </rv>
  <rv s="2">
    <fb>3960</fb>
    <v>26</v>
  </rv>
  <rv s="1">
    <v>7</v>
  </rv>
  <rv s="2">
    <fb>13880</fb>
    <v>34</v>
  </rv>
  <rv s="2">
    <fb>2693</fb>
    <v>26</v>
  </rv>
  <rv s="2">
    <fb>65570</fb>
    <v>34</v>
  </rv>
  <rv s="2">
    <fb>3671</fb>
    <v>23</v>
  </rv>
  <rv s="2">
    <fb>44</fb>
    <v>23</v>
  </rv>
  <rv s="2">
    <fb>0.144099998474121</fb>
    <v>37</v>
  </rv>
  <rv s="7">
    <v>#VALUE!</v>
    <v>en-CA</v>
    <v>wjson{"t":"e","d":"Country","e":"Bahamas"}</v>
    <v>536871168</v>
    <v>1</v>
    <v>1</v>
    <v>2</v>
    <v>Bahamas</v>
    <v>4</v>
    <v>5</v>
    <v>City</v>
    <v>6</v>
    <v>7</v>
    <v>22</v>
    <v>1</v>
    <v>2</v>
    <v>3</v>
    <v>4</v>
    <v>5</v>
    <v>6</v>
    <v>1‐242</v>
    <v>7</v>
    <v>8</v>
    <v>9</v>
    <v>BS</v>
    <v>10</v>
    <v>11</v>
    <v>12</v>
    <v>13</v>
    <v>20</v>
    <v>21</v>
    <v>22</v>
    <v>Commonwealth of The Bahamas</v>
    <v>23</v>
    <v>24</v>
    <v>25</v>
    <v>26</v>
    <v>27</v>
    <v>28</v>
    <v>29</v>
    <v>30</v>
    <v>31</v>
    <v>.bs</v>
    <v>32</v>
    <v>33</v>
    <v>BAHAMAS</v>
    <v>34</v>
    <v>35</v>
    <v>42</v>
    <v>47</v>
    <v>BS</v>
    <v>48</v>
    <v>49</v>
    <v>50</v>
    <v>51</v>
    <v>52</v>
    <v>53</v>
    <v>Bahamas</v>
    <v>Bahamian</v>
    <v>54</v>
    <v>55</v>
    <v>56</v>
    <v>57</v>
    <v>58</v>
    <v>59</v>
    <v>60</v>
    <v>61</v>
    <v>62</v>
    <v>96</v>
    <v>107</v>
    <v>108</v>
    <v>109</v>
    <v>110</v>
    <v>111</v>
    <v>112</v>
    <v>113</v>
    <v>114</v>
    <v>115</v>
    <v>116</v>
    <v>117</v>
    <v>BHS</v>
    <v>118</v>
    <v>119</v>
    <v>Bahamas</v>
    <v>country/region</v>
  </rv>
  <rv s="0">
    <v>536871168</v>
    <v>Cayman Islands</v>
    <v>wjson{"t":"e","d":"Country","e":"CaymanIslands"}</v>
    <v>en-CA</v>
    <v>City</v>
  </rv>
  <rv s="1">
    <v>8</v>
  </rv>
  <rv s="2">
    <fb>577</fb>
    <v>23</v>
  </rv>
  <rv s="2">
    <fb>224</fb>
    <v>23</v>
  </rv>
  <rv s="2">
    <fb>7.575757575757576E-3</fb>
    <v>24</v>
  </rv>
  <rv s="2">
    <fb>5.09</fb>
    <v>25</v>
  </rv>
  <rv s="2">
    <fb>1.87</fb>
    <v>25</v>
  </rv>
  <rv s="0">
    <v>536871168</v>
    <v>George Town</v>
    <v>wjson{"t":"e","d":"City","e":["GeorgeTown","GeorgeTown","CaymanIslands"]}</v>
    <v>en-CA</v>
    <v>City</v>
  </rv>
  <rv s="2">
    <fb>160</fb>
    <v>46</v>
  </rv>
  <rv s="2">
    <fb>-0.62525835861811396</fb>
    <v>29</v>
  </rv>
  <rv s="2">
    <fb>0.6</fb>
    <v>29</v>
  </rv>
  <rv s="3">
    <v>27</v>
    <v>Mixed (60.%)</v>
    <v>28</v>
    <v>mixed</v>
    <v>131</v>
    <v>Mixed (60.%)</v>
  </rv>
  <rv s="2">
    <fb>0.2</fb>
    <v>29</v>
  </rv>
  <rv s="3">
    <v>27</v>
    <v>Black (20.%)</v>
    <v>28</v>
    <v>black</v>
    <v>133</v>
    <v>Black (20.%)</v>
  </rv>
  <rv s="3">
    <v>27</v>
    <v>White (20.%)</v>
    <v>28</v>
    <v>white</v>
    <v>133</v>
    <v>White (20.%)</v>
  </rv>
  <rv s="1">
    <v>9</v>
  </rv>
  <rv s="2">
    <fb>31232</fb>
    <v>23</v>
  </rv>
  <rv s="4">
    <v>2</v>
    <v>6</v>
    <v>47</v>
    <v>0</v>
    <v>flag of Cayman Islands</v>
  </rv>
  <rv s="2">
    <fb>5517361237.6342297</fb>
    <v>32</v>
  </rv>
  <rv s="2">
    <fb>4703458957.7837296</fb>
    <v>32</v>
  </rv>
  <rv s="2">
    <fb>85975.024739524204</fb>
    <v>33</v>
  </rv>
  <rv s="2">
    <fb>4.1264855203570603</fb>
    <v>25</v>
  </rv>
  <rv s="2">
    <fb>52652</fb>
    <v>23</v>
  </rv>
  <rv s="2">
    <fb>84621</fb>
    <v>23</v>
  </rv>
  <rv s="2">
    <fb>264</fb>
    <v>46</v>
  </rv>
  <rv s="2">
    <fb>0.93412412624443975</fb>
    <v>26</v>
  </rv>
  <rv s="5">
    <v>35</v>
    <v>English (93.412%)</v>
    <v>28</v>
    <v>146</v>
    <v>40</v>
    <v>English (93.412%)</v>
  </rv>
  <rv s="2">
    <fb>3.1349290404575306E-2</fb>
    <v>46</v>
  </rv>
  <rv s="0">
    <v>-1879047936</v>
    <v>Spanish</v>
    <v>wjson{"t":"e","d":"Language","e":"Spanish::77gfp"}</v>
    <v>en-CA</v>
    <v>Languages</v>
  </rv>
  <rv s="5">
    <v>35</v>
    <v>Spanish (3.135%)</v>
    <v>28</v>
    <v>148</v>
    <v>149</v>
    <v>Spanish (3.135%)</v>
  </rv>
  <rv s="1">
    <v>10</v>
  </rv>
  <rv s="0">
    <v>536871168</v>
    <v>West Bay</v>
    <v>wjson{"t":"e","d":"City","e":["WestBay","WestBay","CaymanIslands"]}</v>
    <v>en-CA</v>
    <v>City</v>
  </rv>
  <rv s="0">
    <v>536871168</v>
    <v>Bodden Town</v>
    <v>wjson{"t":"e","d":"City","e":["BoddenTown","BoddenTown","CaymanIslands"]}</v>
    <v>en-CA</v>
    <v>City</v>
  </rv>
  <rv s="0">
    <v>536871168</v>
    <v>East End</v>
    <v>wjson{"t":"e","d":"City","e":["EastEnd","EastEnd","CaymanIslands"]}</v>
    <v>en-CA</v>
    <v>City</v>
  </rv>
  <rv s="0">
    <v>536871168</v>
    <v>North Side</v>
    <v>wjson{"t":"e","d":"City","e":["NorthSide","NorthSide","CaymanIslands"]}</v>
    <v>en-CA</v>
    <v>City</v>
  </rv>
  <rv s="1">
    <v>11</v>
  </rv>
  <rv s="2">
    <fb>81.400000000000006</fb>
    <v>36</v>
  </rv>
  <rv s="2">
    <fb>0.98867820739746093</fb>
    <v>37</v>
  </rv>
  <rv s="4">
    <v>3</v>
    <v>6</v>
    <v>38</v>
    <v>1</v>
    <v>location map of Cayman Islands</v>
  </rv>
  <rv s="2">
    <fb>96656</fb>
    <v>23</v>
  </rv>
  <rv s="1">
    <v>12</v>
  </rv>
  <rv s="0">
    <v>536871168</v>
    <v>United Kingdom</v>
    <v>wjson{"t":"e","d":"Country","e":"UnitedKingdom"}</v>
    <v>en-CA</v>
    <v>City</v>
  </rv>
  <rv s="2">
    <fb>65720</fb>
    <v>23</v>
  </rv>
  <rv s="2">
    <fb>270.61666666666702</fb>
    <v>46</v>
  </rv>
  <rv s="2">
    <fb>1.1988805480967599</fb>
    <v>25</v>
  </rv>
  <rv s="2">
    <fb>4299</fb>
    <v>23</v>
  </rv>
  <rv s="2">
    <fb>15.747249999999999</fb>
    <v>36</v>
  </rv>
  <rv s="2">
    <fb>2.6073900000000001E-2</fb>
    <v>39</v>
  </rv>
  <rv s="2">
    <fb>5044817941.2071199</fb>
    <v>32</v>
  </rv>
  <rv s="0">
    <v>536871168</v>
    <v>Bodden Town, Cayman Islands</v>
    <v>wjson{"t":"e","d":"AdministrativeDivision","e":["BoddenTown","CaymanIslands"]}</v>
    <v>en-CA</v>
    <v>City</v>
  </rv>
  <rv s="0">
    <v>536871168</v>
    <v>East End, Cayman Islands</v>
    <v>wjson{"t":"e","d":"AdministrativeDivision","e":["EastEnd","CaymanIslands"]}</v>
    <v>en-CA</v>
    <v>City</v>
  </rv>
  <rv s="0">
    <v>536871168</v>
    <v>George Town, Cayman Islands</v>
    <v>wjson{"t":"e","d":"AdministrativeDivision","e":["GeorgeTown","CaymanIslands"]}</v>
    <v>en-CA</v>
    <v>City</v>
  </rv>
  <rv s="0">
    <v>536871168</v>
    <v>North Side, Cayman Islands</v>
    <v>wjson{"t":"e","d":"AdministrativeDivision","e":["NorthSide","CaymanIslands"]}</v>
    <v>en-CA</v>
    <v>City</v>
  </rv>
  <rv s="0">
    <v>536871168</v>
    <v>Sister Islands, Cayman Islands</v>
    <v>wjson{"t":"e","d":"AdministrativeDivision","e":["SisterIslands","CaymanIslands"]}</v>
    <v>en-CA</v>
    <v>City</v>
  </rv>
  <rv s="0">
    <v>536871168</v>
    <v>West Bay, Cayman Islands</v>
    <v>wjson{"t":"e","d":"AdministrativeDivision","e":["WestBay","CaymanIslands"]}</v>
    <v>en-CA</v>
    <v>City</v>
  </rv>
  <rv s="1">
    <v>13</v>
  </rv>
  <rv s="2">
    <fb>0.78165244828795144</fb>
    <v>29</v>
  </rv>
  <rv s="6">
    <v>41</v>
    <v>Christianity (78.165%)</v>
    <v>28</v>
    <v>177</v>
    <v>Christianity (78.165%)</v>
    <v>Christianity</v>
  </rv>
  <rv s="2">
    <fb>0.13955825639827041</fb>
    <v>29</v>
  </rv>
  <rv s="6">
    <v>41</v>
    <v>Spiritism (13.956%)</v>
    <v>28</v>
    <v>179</v>
    <v>Spiritism (13.956%)</v>
    <v>Spiritism</v>
  </rv>
  <rv s="2">
    <fb>1.7716489423863505E-2</fb>
    <v>30</v>
  </rv>
  <rv s="6">
    <v>41</v>
    <v>Judaism (1.772%)</v>
    <v>28</v>
    <v>181</v>
    <v>Judaism (1.772%)</v>
    <v>Judaism</v>
  </rv>
  <rv s="2">
    <fb>7.7129835222624751E-3</fb>
    <v>40</v>
  </rv>
  <rv s="6">
    <v>41</v>
    <v>Bahá'í Faith (0.771%)</v>
    <v>28</v>
    <v>183</v>
    <v>Bahá'í Faith (0.771%)</v>
    <v>Bahá'í Faith</v>
  </rv>
  <rv s="2">
    <fb>2.5476218300806357E-3</fb>
    <v>40</v>
  </rv>
  <rv s="6">
    <v>41</v>
    <v>Hinduism (0.255%)</v>
    <v>28</v>
    <v>185</v>
    <v>Hinduism (0.255%)</v>
    <v>Hinduism</v>
  </rv>
  <rv s="2">
    <fb>1.9399322192357135E-3</fb>
    <v>40</v>
  </rv>
  <rv s="6">
    <v>41</v>
    <v>Islam (0.194%)</v>
    <v>28</v>
    <v>187</v>
    <v>Islam (0.194%)</v>
    <v>Islam</v>
  </rv>
  <rv s="1">
    <v>14</v>
  </rv>
  <rv s="2">
    <fb>3476</fb>
    <v>23</v>
  </rv>
  <rv s="2">
    <fb>10.965299999999999</fb>
    <v>36</v>
  </rv>
  <rv s="2">
    <fb>2002</fb>
    <v>23</v>
  </rv>
  <rv s="2">
    <fb>34768</fb>
    <v>23</v>
  </rv>
  <rv s="2">
    <fb>912</fb>
    <v>46</v>
  </rv>
  <rv s="1">
    <v>15</v>
  </rv>
  <rv s="2">
    <fb>785</fb>
    <v>46</v>
  </rv>
  <rv s="2">
    <fb>7846</fb>
    <v>26</v>
  </rv>
  <rv s="2">
    <fb>590</fb>
    <v>23</v>
  </rv>
  <rv s="2">
    <fb>136</fb>
    <v>23</v>
  </rv>
  <rv s="2">
    <fb>0.04</fb>
    <v>39</v>
  </rv>
  <rv s="8">
    <v>#VALUE!</v>
    <v>en-CA</v>
    <v>wjson{"t":"e","d":"Country","e":"CaymanIslands"}</v>
    <v>536871168</v>
    <v>1</v>
    <v>43</v>
    <v>44</v>
    <v>Cayman Islands</v>
    <v>4</v>
    <v>5</v>
    <v>City</v>
    <v>6</v>
    <v>45</v>
    <v>22</v>
    <v>122</v>
    <v>123</v>
    <v>124</v>
    <v>125</v>
    <v>126</v>
    <v>127</v>
    <v>1‐345</v>
    <v>128</v>
    <v>129</v>
    <v>130</v>
    <v>KY</v>
    <v>136</v>
    <v>137</v>
    <v>138</v>
    <v>Cayman Islands</v>
    <v>139</v>
    <v>140</v>
    <v>141</v>
    <v>142</v>
    <v>.ky</v>
    <v>143</v>
    <v>144</v>
    <v>CAYMAN ISLANDS</v>
    <v>145</v>
    <v>151</v>
    <v>156</v>
    <v>GB</v>
    <v>157</v>
    <v>158</v>
    <v>159</v>
    <v>160</v>
    <v>Cayman Islands</v>
    <v>Caymanian</v>
    <v>161</v>
    <v>162</v>
    <v>163</v>
    <v>164</v>
    <v>165</v>
    <v>166</v>
    <v>167</v>
    <v>168</v>
    <v>169</v>
    <v>176</v>
    <v>189</v>
    <v>190</v>
    <v>191</v>
    <v>192</v>
    <v>193</v>
    <v>194</v>
    <v>195</v>
    <v>145</v>
    <v>196</v>
    <v>197</v>
    <v>198</v>
    <v>CYM</v>
    <v>199</v>
    <v>200</v>
    <v>Cayman Islands</v>
    <v>country/region</v>
  </rv>
  <rv s="0">
    <v>536871168</v>
    <v>Egypt</v>
    <v>wjson{"t":"e","d":"Country","e":"Egypt"}</v>
    <v>en-CA</v>
    <v>City</v>
  </rv>
  <rv s="2">
    <fb>2496408</fb>
    <v>23</v>
  </rv>
  <rv s="2">
    <fb>570461</fb>
    <v>23</v>
  </rv>
  <rv s="2">
    <fb>2.8127982319553976E-2</fb>
    <v>39</v>
  </rv>
  <rv s="2">
    <fb>1.26</fb>
    <v>25</v>
  </rv>
  <rv s="2">
    <fb>0.41</fb>
    <v>29</v>
  </rv>
  <rv s="0">
    <v>536871168</v>
    <v>Gaza Strip</v>
    <v>wjson{"t":"e","d":"Country","e":"GazaStrip"}</v>
    <v>en-CA</v>
    <v>City</v>
  </rv>
  <rv s="0">
    <v>536871168</v>
    <v>Israel</v>
    <v>wjson{"t":"e","d":"Country","e":"Israel"}</v>
    <v>en-CA</v>
    <v>City</v>
  </rv>
  <rv s="0">
    <v>536871168</v>
    <v>Libya</v>
    <v>wjson{"t":"e","d":"Country","e":"Libya"}</v>
    <v>en-CA</v>
    <v>City</v>
  </rv>
  <rv s="0">
    <v>536871168</v>
    <v>Sudan</v>
    <v>wjson{"t":"e","d":"Country","e":"Sudan"}</v>
    <v>en-CA</v>
    <v>City</v>
  </rv>
  <rv s="1">
    <v>16</v>
  </rv>
  <rv s="0">
    <v>536871168</v>
    <v>Cairo</v>
    <v>wjson{"t":"e","d":"City","e":["Cairo","Cairo","Egypt"]}</v>
    <v>en-CA</v>
    <v>City</v>
  </rv>
  <rv s="2">
    <fb>2450</fb>
    <v>26</v>
  </rv>
  <rv s="2">
    <fb>14.4014657807421</fb>
    <v>36</v>
  </rv>
  <rv s="2">
    <fb>26038480</fb>
    <v>23</v>
  </rv>
  <rv s="2">
    <fb>5542586</fb>
    <v>23</v>
  </rv>
  <rv s="2">
    <fb>7241380</fb>
    <v>23</v>
  </rv>
  <rv s="2">
    <fb>14095692</fb>
    <v>23</v>
  </rv>
  <rv s="2">
    <fb>0.996</fb>
    <v>29</v>
  </rv>
  <rv s="3">
    <v>27</v>
    <v>Egyptian (99.6%)</v>
    <v>28</v>
    <v>Egyptian</v>
    <v>220</v>
    <v>Egyptian (99.6%)</v>
  </rv>
  <rv s="2">
    <fb>4.0000000000000001E-3</fb>
    <v>40</v>
  </rv>
  <rv s="3">
    <v>27</v>
    <v>Other (0.4%)</v>
    <v>28</v>
    <v>other</v>
    <v>222</v>
    <v>Other (0.4%)</v>
  </rv>
  <rv s="1">
    <v>17</v>
  </rv>
  <rv s="2">
    <fb>7598940</fb>
    <v>23</v>
  </rv>
  <rv s="4">
    <v>4</v>
    <v>6</v>
    <v>50</v>
    <v>0</v>
    <v>flag of Egypt</v>
  </rv>
  <rv s="2">
    <fb>303092255125.28497</fb>
    <v>32</v>
  </rv>
  <rv s="2">
    <fb>1233147750539.73</fb>
    <v>32</v>
  </rv>
  <rv s="2">
    <fb>3019.2058286175602</fb>
    <v>51</v>
  </rv>
  <rv s="2">
    <fb>5.55768388791593</fb>
    <v>25</v>
  </rv>
  <rv s="2">
    <fb>0.315</fb>
    <v>29</v>
  </rv>
  <rv s="2">
    <fb>2.1999999999999999E-2</fb>
    <v>30</v>
  </rv>
  <rv s="2">
    <fb>0.60099999999999998</fb>
    <v>29</v>
  </rv>
  <rv s="2">
    <fb>0.79</fb>
    <v>29</v>
  </rv>
  <rv s="2">
    <fb>0.69699999999999995</fb>
    <v>29</v>
  </rv>
  <rv s="2">
    <fb>0.69099999999999995</fb>
    <v>29</v>
  </rv>
  <rv s="2">
    <fb>57505199</fb>
    <v>23</v>
  </rv>
  <rv s="2">
    <fb>24332735</fb>
    <v>23</v>
  </rv>
  <rv s="2">
    <fb>29077030</fb>
    <v>23</v>
  </rv>
  <rv s="2">
    <fb>995450</fb>
    <v>23</v>
  </rv>
  <rv s="2">
    <fb>0.85281826462119203</fb>
    <v>26</v>
  </rv>
  <rv s="0">
    <v>-1879047936</v>
    <v>Arabic</v>
    <v>wjson{"t":"e","d":"Language","e":"Arabic::3gqbv"}</v>
    <v>en-CA</v>
    <v>Languages</v>
  </rv>
  <rv s="5">
    <v>35</v>
    <v>Arabic (85.282%)</v>
    <v>28</v>
    <v>241</v>
    <v>242</v>
    <v>Arabic (85.282%)</v>
  </rv>
  <rv s="2">
    <fb>0.58817519117150707</fb>
    <v>26</v>
  </rv>
  <rv s="0">
    <v>-1879047936</v>
    <v>Egyptian Arabic</v>
    <v>wjson{"t":"e","d":"Language","e":"ArabicEgyptian::624w2"}</v>
    <v>en-CA</v>
    <v>Languages</v>
  </rv>
  <rv s="5">
    <v>35</v>
    <v>Egyptian Arabic (58.818%)</v>
    <v>28</v>
    <v>244</v>
    <v>245</v>
    <v>Egyptian Arabic (58.818%)</v>
  </rv>
  <rv s="2">
    <fb>0.25033804245240471</fb>
    <v>26</v>
  </rv>
  <rv s="0">
    <v>-1879047936</v>
    <v>Saidi Arabic</v>
    <v>wjson{"t":"e","d":"Language","e":"ArabicSaidi::759fs"}</v>
    <v>en-CA</v>
    <v>Languages</v>
  </rv>
  <rv s="5">
    <v>35</v>
    <v>Saidi Arabic (25.034%)</v>
    <v>28</v>
    <v>247</v>
    <v>248</v>
    <v>Saidi Arabic (25.034%)</v>
  </rv>
  <rv s="2">
    <fb>1.0331411275813529E-2</fb>
    <v>46</v>
  </rv>
  <rv s="0">
    <v>-1879047936</v>
    <v>Eastern Egyptian Bedawi Arabic</v>
    <v>wjson{"t":"e","d":"Language","e":"ArabicEasternEgyptianBedawi::z6264"}</v>
    <v>en-CA</v>
    <v>Languages</v>
  </rv>
  <rv s="5">
    <v>35</v>
    <v>Eastern Egyptian Bedawi Arabic (1.033%)</v>
    <v>28</v>
    <v>250</v>
    <v>251</v>
    <v>Eastern Egyptian Bedawi Arabic (1.033%)</v>
  </rv>
  <rv s="2">
    <fb>3.9736197214667417E-3</fb>
    <v>36</v>
  </rv>
  <rv s="0">
    <v>-1879047936</v>
    <v>Libyan Arabic</v>
    <v>wjson{"t":"e","d":"Language","e":"ArabicLibyan::p286v"}</v>
    <v>en-CA</v>
    <v>Languages</v>
  </rv>
  <rv s="5">
    <v>35</v>
    <v>Libyan Arabic (0.397%)</v>
    <v>28</v>
    <v>253</v>
    <v>254</v>
    <v>Libyan Arabic (0.397%)</v>
  </rv>
  <rv s="2">
    <fb>3.0994233827440583E-3</fb>
    <v>36</v>
  </rv>
  <rv s="0">
    <v>-1879047936</v>
    <v>Domari</v>
    <v>wjson{"t":"e","d":"Language","e":"Domari::9fs44"}</v>
    <v>en-CA</v>
    <v>Languages</v>
  </rv>
  <rv s="5">
    <v>35</v>
    <v>Domari (0.31%)</v>
    <v>28</v>
    <v>256</v>
    <v>257</v>
    <v>Domari (0.31%)</v>
  </rv>
  <rv s="2">
    <fb>2.649079814311161E-3</fb>
    <v>36</v>
  </rv>
  <rv s="0">
    <v>-1879047936</v>
    <v>Nobiin</v>
    <v>wjson{"t":"e","d":"Language","e":"Nobiin::twd3t"}</v>
    <v>en-CA</v>
    <v>Languages</v>
  </rv>
  <rv s="5">
    <v>35</v>
    <v>Nobiin (0.265%)</v>
    <v>28</v>
    <v>259</v>
    <v>260</v>
    <v>Nobiin (0.265%)</v>
  </rv>
  <rv s="2">
    <fb>1.3245399071555803E-3</fb>
    <v>36</v>
  </rv>
  <rv s="0">
    <v>-1879047936</v>
    <v>Kenuzi-Dongola</v>
    <v>wjson{"t":"e","d":"Language","e":"KenuziDongola"}</v>
    <v>en-CA</v>
    <v>Languages</v>
  </rv>
  <rv s="5">
    <v>35</v>
    <v>Kenuzi-Dongola (0.132%)</v>
    <v>28</v>
    <v>262</v>
    <v>263</v>
    <v>Kenuzi-Dongola (0.132%)</v>
  </rv>
  <rv s="2">
    <fb>5.5630676100534382E-4</fb>
    <v>25</v>
  </rv>
  <rv s="0">
    <v>-1879047936</v>
    <v>Modern Greek</v>
    <v>wjson{"t":"e","d":"Language","e":"Greek::5vxmt"}</v>
    <v>en-CA</v>
    <v>Languages</v>
  </rv>
  <rv s="5">
    <v>35</v>
    <v>Modern Greek (0.056%)</v>
    <v>28</v>
    <v>265</v>
    <v>266</v>
    <v>Modern Greek (0.056%)</v>
  </rv>
  <rv s="1">
    <v>18</v>
  </rv>
  <rv s="0">
    <v>536871168</v>
    <v>Alexandria</v>
    <v>wjson{"t":"e","d":"City","e":["Alexandria","Alexandria","Egypt"]}</v>
    <v>en-CA</v>
    <v>City</v>
  </rv>
  <rv s="0">
    <v>536871168</v>
    <v>Giza</v>
    <v>wjson{"t":"e","d":"City","e":["Giza","Giza","Egypt"]}</v>
    <v>en-CA</v>
    <v>City</v>
  </rv>
  <rv s="0">
    <v>536871168</v>
    <v>Shubra‐El‐Khema</v>
    <v>wjson{"t":"e","d":"City","e":["ShubraElKhema","ElQalubiya","Egypt"]}</v>
    <v>en-CA</v>
    <v>City</v>
  </rv>
  <rv s="0">
    <v>536871168</v>
    <v>Port Said</v>
    <v>wjson{"t":"e","d":"City","e":["PortSaid","PortSaid","Egypt"]}</v>
    <v>en-CA</v>
    <v>City</v>
  </rv>
  <rv s="1">
    <v>19</v>
  </rv>
  <rv s="2">
    <fb>73.2</fb>
    <v>36</v>
  </rv>
  <rv s="2">
    <fb>0.71168251037597696</fb>
    <v>37</v>
  </rv>
  <rv s="4">
    <v>5</v>
    <v>6</v>
    <v>38</v>
    <v>1</v>
    <v>location map of Egypt</v>
  </rv>
  <rv s="2">
    <fb>0.11637749662399316</fb>
    <v>37</v>
  </rv>
  <rv s="2">
    <fb>24.678000000000001</fb>
    <v>36</v>
  </rv>
  <rv s="2">
    <fb>95340300</fb>
    <v>23</v>
  </rv>
  <rv s="1">
    <v>20</v>
  </rv>
  <rv s="2">
    <fb>2.3799999999999997E-3</fb>
    <v>40</v>
  </rv>
  <rv s="2">
    <fb>102334403</fb>
    <v>23</v>
  </rv>
  <rv s="2">
    <fb>100.846929529359</fb>
    <v>46</v>
  </rv>
  <rv s="2">
    <fb>1.9762843480882899</fb>
    <v>25</v>
  </rv>
  <rv s="2">
    <fb>13265036</fb>
    <v>23</v>
  </rv>
  <rv s="2">
    <fb>23.679449999999999</fb>
    <v>36</v>
  </rv>
  <rv s="2">
    <fb>3.7608299255371097E-2</fb>
    <v>39</v>
  </rv>
  <rv s="2">
    <fb>302183451076.55603</fb>
    <v>32</v>
  </rv>
  <rv s="0">
    <v>536871168</v>
    <v>Alexandria, Egypt</v>
    <v>wjson{"t":"e","d":"AdministrativeDivision","e":["Alexandria","Egypt"]}</v>
    <v>en-CA</v>
    <v>City</v>
  </rv>
  <rv s="0">
    <v>536871168</v>
    <v>al‐Wadi al‐Jadid, Egypt</v>
    <v>wjson{"t":"e","d":"AdministrativeDivision","e":["AlWadiAlJadid","Egypt"]}</v>
    <v>en-CA</v>
    <v>City</v>
  </rv>
  <rv s="0">
    <v>536871168</v>
    <v>Aswan, Egypt</v>
    <v>wjson{"t":"e","d":"AdministrativeDivision","e":["Aswan","Egypt"]}</v>
    <v>en-CA</v>
    <v>City</v>
  </rv>
  <rv s="0">
    <v>536871168</v>
    <v>Asyut, Egypt</v>
    <v>wjson{"t":"e","d":"AdministrativeDivision","e":["Asyut","Egypt"]}</v>
    <v>en-CA</v>
    <v>City</v>
  </rv>
  <rv s="0">
    <v>536871168</v>
    <v>Behera, Egypt</v>
    <v>wjson{"t":"e","d":"AdministrativeDivision","e":["Behera","Egypt"]}</v>
    <v>en-CA</v>
    <v>City</v>
  </rv>
  <rv s="0">
    <v>536871168</v>
    <v>Beni Suef, Egypt</v>
    <v>wjson{"t":"e","d":"AdministrativeDivision","e":["BeniSuef","Egypt"]}</v>
    <v>en-CA</v>
    <v>City</v>
  </rv>
  <rv s="0">
    <v>536871168</v>
    <v>Cairo, Egypt</v>
    <v>wjson{"t":"e","d":"AdministrativeDivision","e":["Cairo","Egypt"]}</v>
    <v>en-CA</v>
    <v>City</v>
  </rv>
  <rv s="0">
    <v>536871168</v>
    <v>Dakahlia, Egypt</v>
    <v>wjson{"t":"e","d":"AdministrativeDivision","e":["Dakahlia","Egypt"]}</v>
    <v>en-CA</v>
    <v>City</v>
  </rv>
  <rv s="0">
    <v>536871168</v>
    <v>Damietta, Egypt</v>
    <v>wjson{"t":"e","d":"AdministrativeDivision","e":["Damietta","Egypt"]}</v>
    <v>en-CA</v>
    <v>City</v>
  </rv>
  <rv s="0">
    <v>536871168</v>
    <v>El Bahr el Ahmar, Egypt</v>
    <v>wjson{"t":"e","d":"AdministrativeDivision","e":["ElBahrElAhmar","Egypt"]}</v>
    <v>en-CA</v>
    <v>City</v>
  </rv>
  <rv s="0">
    <v>536871168</v>
    <v>El Faiyum, Egypt</v>
    <v>wjson{"t":"e","d":"AdministrativeDivision","e":["ElFaiyum","Egypt"]}</v>
    <v>en-CA</v>
    <v>City</v>
  </rv>
  <rv s="0">
    <v>536871168</v>
    <v>El Qalubiya, Egypt</v>
    <v>wjson{"t":"e","d":"AdministrativeDivision","e":["ElQalubiya","Egypt"]}</v>
    <v>en-CA</v>
    <v>City</v>
  </rv>
  <rv s="0">
    <v>536871168</v>
    <v>Gharbia, Egypt</v>
    <v>wjson{"t":"e","d":"AdministrativeDivision","e":["Gharbia","Egypt"]}</v>
    <v>en-CA</v>
    <v>City</v>
  </rv>
  <rv s="0">
    <v>536871168</v>
    <v>Giza, Egypt</v>
    <v>wjson{"t":"e","d":"AdministrativeDivision","e":["Giza","Egypt"]}</v>
    <v>en-CA</v>
    <v>City</v>
  </rv>
  <rv s="0">
    <v>536871168</v>
    <v>Ismailia, Egypt</v>
    <v>wjson{"t":"e","d":"AdministrativeDivision","e":["Ismailia","Egypt"]}</v>
    <v>en-CA</v>
    <v>City</v>
  </rv>
  <rv s="0">
    <v>536871168</v>
    <v>Kafr el Sheikh, Egypt</v>
    <v>wjson{"t":"e","d":"AdministrativeDivision","e":["KafrElSheikh","Egypt"]}</v>
    <v>en-CA</v>
    <v>City</v>
  </rv>
  <rv s="0">
    <v>536871168</v>
    <v>Luxor, Egypt</v>
    <v>wjson{"t":"e","d":"AdministrativeDivision","e":["Luxor","Egypt"]}</v>
    <v>en-CA</v>
    <v>City</v>
  </rv>
  <rv s="0">
    <v>536871168</v>
    <v>Matruh, Egypt</v>
    <v>wjson{"t":"e","d":"AdministrativeDivision","e":["Matruh","Egypt"]}</v>
    <v>en-CA</v>
    <v>City</v>
  </rv>
  <rv s="0">
    <v>536871168</v>
    <v>Menia, Egypt</v>
    <v>wjson{"t":"e","d":"AdministrativeDivision","e":["Menia","Egypt"]}</v>
    <v>en-CA</v>
    <v>City</v>
  </rv>
  <rv s="0">
    <v>536871168</v>
    <v>Menufia, Egypt</v>
    <v>wjson{"t":"e","d":"AdministrativeDivision","e":["Menufia","Egypt"]}</v>
    <v>en-CA</v>
    <v>City</v>
  </rv>
  <rv s="0">
    <v>536871168</v>
    <v>North Sinai, Egypt</v>
    <v>wjson{"t":"e","d":"AdministrativeDivision","e":["NorthSinai","Egypt"]}</v>
    <v>en-CA</v>
    <v>City</v>
  </rv>
  <rv s="0">
    <v>536871168</v>
    <v>Port Said, Egypt</v>
    <v>wjson{"t":"e","d":"AdministrativeDivision","e":["PortSaid","Egypt"]}</v>
    <v>en-CA</v>
    <v>City</v>
  </rv>
  <rv s="0">
    <v>536871168</v>
    <v>Qena, Egypt</v>
    <v>wjson{"t":"e","d":"AdministrativeDivision","e":["Qena","Egypt"]}</v>
    <v>en-CA</v>
    <v>City</v>
  </rv>
  <rv s="0">
    <v>536871168</v>
    <v>Sharkia, Egypt</v>
    <v>wjson{"t":"e","d":"AdministrativeDivision","e":["Sharkia","Egypt"]}</v>
    <v>en-CA</v>
    <v>City</v>
  </rv>
  <rv s="0">
    <v>536871168</v>
    <v>Sinai al‐Janubiyah, Egypt</v>
    <v>wjson{"t":"e","d":"AdministrativeDivision","e":["SinaiAlJanubiyah","Egypt"]}</v>
    <v>en-CA</v>
    <v>City</v>
  </rv>
  <rv s="0">
    <v>536871168</v>
    <v>Sohag, Egypt</v>
    <v>wjson{"t":"e","d":"AdministrativeDivision","e":["Sohag","Egypt"]}</v>
    <v>en-CA</v>
    <v>City</v>
  </rv>
  <rv s="0">
    <v>536871168</v>
    <v>Suez, Egypt</v>
    <v>wjson{"t":"e","d":"AdministrativeDivision","e":["Suez","Egypt"]}</v>
    <v>en-CA</v>
    <v>City</v>
  </rv>
  <rv s="1">
    <v>21</v>
  </rv>
  <rv s="2">
    <fb>0.84808797708890693</fb>
    <v>29</v>
  </rv>
  <rv s="6">
    <v>41</v>
    <v>Islam (84.809%)</v>
    <v>28</v>
    <v>317</v>
    <v>Islam (84.809%)</v>
    <v>Islam</v>
  </rv>
  <rv s="2">
    <fb>0.14665688314852926</fb>
    <v>29</v>
  </rv>
  <rv s="6">
    <v>41</v>
    <v>Christianity (14.666%)</v>
    <v>28</v>
    <v>319</v>
    <v>Christianity (14.666%)</v>
    <v>Christianity</v>
  </rv>
  <rv s="2">
    <fb>8.4336835954089941E-5</fb>
    <v>52</v>
  </rv>
  <rv s="6">
    <v>41</v>
    <v>Bahá'í Faith (0.008%)</v>
    <v>28</v>
    <v>321</v>
    <v>Bahá'í Faith (0.008%)</v>
    <v>Bahá'í Faith</v>
  </rv>
  <rv s="2">
    <fb>1.9805467572433155E-5</fb>
    <v>52</v>
  </rv>
  <rv s="6">
    <v>41</v>
    <v>Judaism (0.002%)</v>
    <v>28</v>
    <v>323</v>
    <v>Judaism (0.002%)</v>
    <v>Judaism</v>
  </rv>
  <rv s="2">
    <fb>9.9494762922877288E-6</fb>
    <v>53</v>
  </rv>
  <rv s="6">
    <v>41</v>
    <v>Hinduism (0.001%)</v>
    <v>28</v>
    <v>325</v>
    <v>Hinduism (0.001%)</v>
    <v>Hinduism</v>
  </rv>
  <rv s="1">
    <v>22</v>
  </rv>
  <rv s="2">
    <fb>9413798</fb>
    <v>23</v>
  </rv>
  <rv s="2">
    <fb>15.16281</fb>
    <v>36</v>
  </rv>
  <rv s="2">
    <fb>4503</fb>
    <v>23</v>
  </rv>
  <rv s="2">
    <fb>1273</fb>
    <v>26</v>
  </rv>
  <rv s="9">
    <v>54</v>
    <v>Sudan (1273. km)</v>
    <v>28</v>
    <v>55</v>
    <v>211</v>
    <v>331</v>
    <v>Sudan (1273. km)</v>
  </rv>
  <rv s="2">
    <fb>1115</fb>
    <v>26</v>
  </rv>
  <rv s="9">
    <v>54</v>
    <v>Libya (1115. km)</v>
    <v>28</v>
    <v>55</v>
    <v>210</v>
    <v>333</v>
    <v>Libya (1115. km)</v>
  </rv>
  <rv s="2">
    <fb>266</fb>
    <v>46</v>
  </rv>
  <rv s="9">
    <v>54</v>
    <v>Israel (266. km)</v>
    <v>28</v>
    <v>55</v>
    <v>209</v>
    <v>335</v>
    <v>Israel (266. km)</v>
  </rv>
  <rv s="2">
    <fb>11</fb>
    <v>36</v>
  </rv>
  <rv s="9">
    <v>54</v>
    <v>Gaza Strip (11. km)</v>
    <v>28</v>
    <v>55</v>
    <v>208</v>
    <v>337</v>
    <v>Gaza Strip (11. km)</v>
  </rv>
  <rv s="1">
    <v>23</v>
  </rv>
  <rv s="2">
    <fb>8760440</fb>
    <v>23</v>
  </rv>
  <rv s="2">
    <fb>2246244</fb>
    <v>23</v>
  </rv>
  <rv s="1">
    <v>24</v>
  </rv>
  <rv s="2">
    <fb>1001450</fb>
    <v>23</v>
  </rv>
  <rv s="2">
    <fb>92370</fb>
    <v>34</v>
  </rv>
  <rv s="2">
    <fb>20258194</fb>
    <v>23</v>
  </rv>
  <rv s="2">
    <fb>1124711</fb>
    <v>23</v>
  </rv>
  <rv s="2">
    <fb>818</fb>
    <v>23</v>
  </rv>
  <rv s="2">
    <fb>0.10449999809265099</fb>
    <v>37</v>
  </rv>
  <rv s="10">
    <v>#VALUE!</v>
    <v>en-CA</v>
    <v>wjson{"t":"e","d":"Country","e":"Egypt"}</v>
    <v>536871168</v>
    <v>1</v>
    <v>48</v>
    <v>49</v>
    <v>Egypt</v>
    <v>4</v>
    <v>5</v>
    <v>City</v>
    <v>6</v>
    <v>7</v>
    <v>22</v>
    <v>203</v>
    <v>204</v>
    <v>205</v>
    <v>206</v>
    <v>207</v>
    <v>212</v>
    <v>20</v>
    <v>213</v>
    <v>214</v>
    <v>215</v>
    <v>EG</v>
    <v>216</v>
    <v>217</v>
    <v>218</v>
    <v>219</v>
    <v>224</v>
    <v>225</v>
    <v>226</v>
    <v>Arab Republic of Egypt</v>
    <v>227</v>
    <v>228</v>
    <v>229</v>
    <v>230</v>
    <v>231</v>
    <v>232</v>
    <v>233</v>
    <v>234</v>
    <v>235</v>
    <v>236</v>
    <v>.eg</v>
    <v>237</v>
    <v>238</v>
    <v>EGYPT</v>
    <v>239</v>
    <v>240</v>
    <v>268</v>
    <v>273</v>
    <v>ET</v>
    <v>274</v>
    <v>275</v>
    <v>276</v>
    <v>277</v>
    <v>278</v>
    <v>279</v>
    <v>Egypt</v>
    <v>Egyptian</v>
    <v>280</v>
    <v>281</v>
    <v>282</v>
    <v>283</v>
    <v>284</v>
    <v>285</v>
    <v>286</v>
    <v>287</v>
    <v>288</v>
    <v>316</v>
    <v>327</v>
    <v>328</v>
    <v>329</v>
    <v>330</v>
    <v>339</v>
    <v>340</v>
    <v>341</v>
    <v>342</v>
    <v>343</v>
    <v>344</v>
    <v>345</v>
    <v>346</v>
    <v>EGY</v>
    <v>347</v>
    <v>348</v>
    <v>Egypt</v>
    <v>country/region</v>
  </rv>
  <rv s="0">
    <v>536871168</v>
    <v>Saudi Arabia</v>
    <v>wjson{"t":"e","d":"Country","e":"SaudiArabia"}</v>
    <v>en-CA</v>
    <v>City</v>
  </rv>
  <rv s="2">
    <fb>629816</fb>
    <v>23</v>
  </rv>
  <rv s="2">
    <fb>117423</fb>
    <v>23</v>
  </rv>
  <rv s="2">
    <fb>1.6117663020470453E-2</fb>
    <v>39</v>
  </rv>
  <rv s="2">
    <fb>4.04</fb>
    <v>25</v>
  </rv>
  <rv s="2">
    <fb>0.65</fb>
    <v>29</v>
  </rv>
  <rv s="0">
    <v>536871168</v>
    <v>Iraq</v>
    <v>wjson{"t":"e","d":"Country","e":"Iraq"}</v>
    <v>en-CA</v>
    <v>City</v>
  </rv>
  <rv s="0">
    <v>536871168</v>
    <v>Jordan</v>
    <v>wjson{"t":"e","d":"Country","e":"Jordan"}</v>
    <v>en-CA</v>
    <v>City</v>
  </rv>
  <rv s="0">
    <v>536871168</v>
    <v>Kuwait</v>
    <v>wjson{"t":"e","d":"Country","e":"Kuwait"}</v>
    <v>en-CA</v>
    <v>City</v>
  </rv>
  <rv s="0">
    <v>536871168</v>
    <v>Oman</v>
    <v>wjson{"t":"e","d":"Country","e":"Oman"}</v>
    <v>en-CA</v>
    <v>City</v>
  </rv>
  <rv s="0">
    <v>536871168</v>
    <v>Qatar</v>
    <v>wjson{"t":"e","d":"Country","e":"Qatar"}</v>
    <v>en-CA</v>
    <v>City</v>
  </rv>
  <rv s="0">
    <v>536871168</v>
    <v>United Arab Emirates</v>
    <v>wjson{"t":"e","d":"Country","e":"UnitedArabEmirates"}</v>
    <v>en-CA</v>
    <v>City</v>
  </rv>
  <rv s="0">
    <v>536871168</v>
    <v>Yemen</v>
    <v>wjson{"t":"e","d":"Country","e":"Yemen"}</v>
    <v>en-CA</v>
    <v>City</v>
  </rv>
  <rv s="1">
    <v>25</v>
  </rv>
  <rv s="0">
    <v>536871168</v>
    <v>Riyadh</v>
    <v>wjson{"t":"e","d":"City","e":["Riyadh","Riyadh","SaudiArabia"]}</v>
    <v>en-CA</v>
    <v>City</v>
  </rv>
  <rv s="2">
    <fb>2640</fb>
    <v>26</v>
  </rv>
  <rv s="2">
    <fb>-2.0933333333333302</fb>
    <v>25</v>
  </rv>
  <rv s="2">
    <fb>13267260</fb>
    <v>23</v>
  </rv>
  <rv s="2">
    <fb>325486</fb>
    <v>23</v>
  </rv>
  <rv s="2">
    <fb>3349400</fb>
    <v>23</v>
  </rv>
  <rv s="2">
    <fb>9830758</fb>
    <v>23</v>
  </rv>
  <rv s="2">
    <fb>0.9</fb>
    <v>29</v>
  </rv>
  <rv s="3">
    <v>27</v>
    <v>Arab (90.%)</v>
    <v>28</v>
    <v>Arab</v>
    <v>371</v>
    <v>Arab (90.%)</v>
  </rv>
  <rv s="2">
    <fb>0.1</fb>
    <v>30</v>
  </rv>
  <rv s="3">
    <v>27</v>
    <v>Afro Asian (10.%)</v>
    <v>28</v>
    <v>Afro Asian</v>
    <v>373</v>
    <v>Afro Asian (10.%)</v>
  </rv>
  <rv s="1">
    <v>26</v>
  </rv>
  <rv s="2">
    <fb>6801950</fb>
    <v>23</v>
  </rv>
  <rv s="4">
    <v>6</v>
    <v>6</v>
    <v>59</v>
    <v>0</v>
    <v>flag of Saudi Arabia</v>
  </rv>
  <rv s="2">
    <fb>792966838161.65906</fb>
    <v>32</v>
  </rv>
  <rv s="2">
    <fb>1680540365363.8999</fb>
    <v>32</v>
  </rv>
  <rv s="2">
    <fb>23139.798656121398</fb>
    <v>33</v>
  </rv>
  <rv s="2">
    <fb>0.33143572875815203</fb>
    <v>29</v>
  </rv>
  <rv s="2">
    <fb>2.3E-2</fb>
    <v>30</v>
  </rv>
  <rv s="2">
    <fb>0.76800000000000002</fb>
    <v>29</v>
  </rv>
  <rv s="2">
    <fb>0.83799999999999997</fb>
    <v>29</v>
  </rv>
  <rv s="2">
    <fb>0.94299999999999995</fb>
    <v>29</v>
  </rv>
  <rv s="2">
    <fb>0.84699999999999998</fb>
    <v>29</v>
  </rv>
  <rv s="2">
    <fb>32803446</fb>
    <v>23</v>
  </rv>
  <rv s="2">
    <fb>10618049</fb>
    <v>23</v>
  </rv>
  <rv s="2">
    <fb>14455502</fb>
    <v>23</v>
  </rv>
  <rv s="2">
    <fb>1960582</fb>
    <v>23</v>
  </rv>
  <rv s="2">
    <fb>0.95461680859779363</fb>
    <v>26</v>
  </rv>
  <rv s="5">
    <v>35</v>
    <v>Arabic (95.462%)</v>
    <v>28</v>
    <v>391</v>
    <v>242</v>
    <v>Arabic (95.462%)</v>
  </rv>
  <rv s="2">
    <fb>0.32343445996875947</fb>
    <v>26</v>
  </rv>
  <rv s="0">
    <v>-1879047936</v>
    <v>Najdi Arabic</v>
    <v>wjson{"t":"e","d":"Language","e":"ArabicNajdi::x823c"}</v>
    <v>en-CA</v>
    <v>Languages</v>
  </rv>
  <rv s="5">
    <v>35</v>
    <v>Najdi Arabic (32.343%)</v>
    <v>28</v>
    <v>393</v>
    <v>394</v>
    <v>Najdi Arabic (32.343%)</v>
  </rv>
  <rv s="2">
    <fb>0.24257584497656962</fb>
    <v>26</v>
  </rv>
  <rv s="0">
    <v>-1879047936</v>
    <v>Hijazi Arabic</v>
    <v>wjson{"t":"e","d":"Language","e":"ArabicHijazi::mp956"}</v>
    <v>en-CA</v>
    <v>Languages</v>
  </rv>
  <rv s="5">
    <v>35</v>
    <v>Hijazi Arabic (24.258%)</v>
    <v>28</v>
    <v>396</v>
    <v>397</v>
    <v>Hijazi Arabic (24.258%)</v>
  </rv>
  <rv s="2">
    <fb>8.0858614992189871E-3</fb>
    <v>36</v>
  </rv>
  <rv s="0">
    <v>-1879047936</v>
    <v>Gulf Arabic</v>
    <v>wjson{"t":"e","d":"Language","e":"ArabicGulf::dw293"}</v>
    <v>en-CA</v>
    <v>Languages</v>
  </rv>
  <rv s="5">
    <v>35</v>
    <v>Gulf Arabic (0.809%)</v>
    <v>28</v>
    <v>399</v>
    <v>400</v>
    <v>Gulf Arabic (0.809%)</v>
  </rv>
  <rv s="1">
    <v>27</v>
  </rv>
  <rv s="0">
    <v>536871168</v>
    <v>Jiddah</v>
    <v>wjson{"t":"e","d":"City","e":["Jiddah","Mecca","SaudiArabia"]}</v>
    <v>en-CA</v>
    <v>City</v>
  </rv>
  <rv s="0">
    <v>536871168</v>
    <v>Makkah</v>
    <v>wjson{"t":"e","d":"City","e":["Mecca","Mecca","SaudiArabia"]}</v>
    <v>en-CA</v>
    <v>City</v>
  </rv>
  <rv s="0">
    <v>536871168</v>
    <v>al‐Madinah</v>
    <v>wjson{"t":"e","d":"City","e":["AlMadinah","Medina","SaudiArabia"]}</v>
    <v>en-CA</v>
    <v>City</v>
  </rv>
  <rv s="0">
    <v>536871168</v>
    <v>ad‐Dammam</v>
    <v>wjson{"t":"e","d":"City","e":["AdDammam","Eastern","SaudiArabia"]}</v>
    <v>en-CA</v>
    <v>City</v>
  </rv>
  <rv s="1">
    <v>28</v>
  </rv>
  <rv s="2">
    <fb>75.7</fb>
    <v>36</v>
  </rv>
  <rv s="2">
    <fb>0.95328628540039106</fb>
    <v>37</v>
  </rv>
  <rv s="4">
    <v>7</v>
    <v>6</v>
    <v>38</v>
    <v>1</v>
    <v>location map of Saudi Arabia</v>
  </rv>
  <rv s="2">
    <fb>1.1084300129127513E-2</fb>
    <v>39</v>
  </rv>
  <rv s="2">
    <fb>29.776</fb>
    <v>36</v>
  </rv>
  <rv s="2">
    <fb>41298600</fb>
    <v>23</v>
  </rv>
  <rv s="1">
    <v>29</v>
  </rv>
  <rv s="2">
    <fb>1.48E-3</fb>
    <v>40</v>
  </rv>
  <rv s="2">
    <fb>34813867</fb>
    <v>23</v>
  </rv>
  <rv s="2">
    <fb>15.941149188952799</fb>
    <v>36</v>
  </rv>
  <rv s="2">
    <fb>1.67311172870933</fb>
    <v>25</v>
  </rv>
  <rv s="2">
    <fb>3390589</fb>
    <v>23</v>
  </rv>
  <rv s="2">
    <fb>13.81495</fb>
    <v>36</v>
  </rv>
  <rv s="2">
    <fb>5.1378102302551298E-2</fb>
    <v>39</v>
  </rv>
  <rv s="2">
    <fb>703949827121.995</fb>
    <v>32</v>
  </rv>
  <rv s="0">
    <v>536871168</v>
    <v>al‐Jawf, Saudi Arabia</v>
    <v>wjson{"t":"e","d":"AdministrativeDivision","e":["AlJawf","SaudiArabia"]}</v>
    <v>en-CA</v>
    <v>City</v>
  </rv>
  <rv s="0">
    <v>536871168</v>
    <v>Aseer, Saudi Arabia</v>
    <v>wjson{"t":"e","d":"AdministrativeDivision","e":["Aseer","SaudiArabia"]}</v>
    <v>en-CA</v>
    <v>City</v>
  </rv>
  <rv s="0">
    <v>536871168</v>
    <v>Baha, Saudi Arabia</v>
    <v>wjson{"t":"e","d":"AdministrativeDivision","e":["Baha","SaudiArabia"]}</v>
    <v>en-CA</v>
    <v>City</v>
  </rv>
  <rv s="0">
    <v>536871168</v>
    <v>Eastern, Saudi Arabia</v>
    <v>wjson{"t":"e","d":"AdministrativeDivision","e":["Eastern","SaudiArabia"]}</v>
    <v>en-CA</v>
    <v>City</v>
  </rv>
  <rv s="0">
    <v>536871168</v>
    <v>Hail, Saudi Arabia</v>
    <v>wjson{"t":"e","d":"AdministrativeDivision","e":["Hail","SaudiArabia"]}</v>
    <v>en-CA</v>
    <v>City</v>
  </rv>
  <rv s="0">
    <v>536871168</v>
    <v>Jizan, Saudi Arabia</v>
    <v>wjson{"t":"e","d":"AdministrativeDivision","e":["Jizan","SaudiArabia"]}</v>
    <v>en-CA</v>
    <v>City</v>
  </rv>
  <rv s="0">
    <v>536871168</v>
    <v>Mecca, Saudi Arabia</v>
    <v>wjson{"t":"e","d":"AdministrativeDivision","e":["Mecca","SaudiArabia"]}</v>
    <v>en-CA</v>
    <v>City</v>
  </rv>
  <rv s="0">
    <v>536871168</v>
    <v>Medina, Saudi Arabia</v>
    <v>wjson{"t":"e","d":"AdministrativeDivision","e":["Medina","SaudiArabia"]}</v>
    <v>en-CA</v>
    <v>City</v>
  </rv>
  <rv s="0">
    <v>536871168</v>
    <v>Najran, Saudi Arabia</v>
    <v>wjson{"t":"e","d":"AdministrativeDivision","e":["Najran","SaudiArabia"]}</v>
    <v>en-CA</v>
    <v>City</v>
  </rv>
  <rv s="0">
    <v>536871168</v>
    <v>Northern, Saudi Arabia</v>
    <v>wjson{"t":"e","d":"AdministrativeDivision","e":["Northern","SaudiArabia"]}</v>
    <v>en-CA</v>
    <v>City</v>
  </rv>
  <rv s="0">
    <v>536871168</v>
    <v>Qaseem, Saudi Arabia</v>
    <v>wjson{"t":"e","d":"AdministrativeDivision","e":["Qaseem","SaudiArabia"]}</v>
    <v>en-CA</v>
    <v>City</v>
  </rv>
  <rv s="0">
    <v>536871168</v>
    <v>Riyadh, Saudi Arabia</v>
    <v>wjson{"t":"e","d":"AdministrativeDivision","e":["Riyadh","SaudiArabia"]}</v>
    <v>en-CA</v>
    <v>City</v>
  </rv>
  <rv s="0">
    <v>536871168</v>
    <v>Tabook, Saudi Arabia</v>
    <v>wjson{"t":"e","d":"AdministrativeDivision","e":["Tabook","SaudiArabia"]}</v>
    <v>en-CA</v>
    <v>City</v>
  </rv>
  <rv s="1">
    <v>30</v>
  </rv>
  <rv s="2">
    <fb>0.92236625695147212</fb>
    <v>29</v>
  </rv>
  <rv s="6">
    <v>41</v>
    <v>Islam (92.237%)</v>
    <v>28</v>
    <v>437</v>
    <v>Islam (92.237%)</v>
    <v>Islam</v>
  </rv>
  <rv s="2">
    <fb>5.1387500362429304E-2</fb>
    <v>30</v>
  </rv>
  <rv s="6">
    <v>41</v>
    <v>Christianity (5.139%)</v>
    <v>28</v>
    <v>439</v>
    <v>Christianity (5.139%)</v>
    <v>Christianity</v>
  </rv>
  <rv s="2">
    <fb>1.1099995094765655E-2</fb>
    <v>30</v>
  </rv>
  <rv s="6">
    <v>41</v>
    <v>Hinduism (1.11%)</v>
    <v>28</v>
    <v>441</v>
    <v>Hinduism (1.11%)</v>
    <v>Hinduism</v>
  </rv>
  <rv s="2">
    <fb>3.2639905419901524E-3</fb>
    <v>40</v>
  </rv>
  <rv s="6">
    <v>41</v>
    <v>Buddhism (0.326%)</v>
    <v>28</v>
    <v>443</v>
    <v>Buddhism (0.326%)</v>
    <v>Buddhism</v>
  </rv>
  <rv s="2">
    <fb>1.9199875499923184E-3</fb>
    <v>40</v>
  </rv>
  <rv s="6">
    <v>41</v>
    <v>Sikhism (0.192%)</v>
    <v>28</v>
    <v>445</v>
    <v>Sikhism (0.192%)</v>
    <v>Sikhism</v>
  </rv>
  <rv s="2">
    <fb>1.8200097425680724E-3</fb>
    <v>40</v>
  </rv>
  <rv s="6">
    <v>41</v>
    <v>Ethnic religions (0.182%)</v>
    <v>28</v>
    <v>447</v>
    <v>Ethnic religions (0.182%)</v>
    <v>ethnic religions</v>
  </rv>
  <rv s="2">
    <fb>8.9601500244656856E-4</fb>
    <v>42</v>
  </rv>
  <rv s="6">
    <v>41</v>
    <v>Chinese Universism (0.09%)</v>
    <v>28</v>
    <v>449</v>
    <v>Chinese Universism (0.09%)</v>
    <v>Chinese Universism</v>
  </rv>
  <rv s="2">
    <fb>1.8719498134820738E-4</fb>
    <v>42</v>
  </rv>
  <rv s="6">
    <v>41</v>
    <v>Bahá'í Faith (0.019%)</v>
    <v>28</v>
    <v>451</v>
    <v>Bahá'í Faith (0.019%)</v>
    <v>Bahá'í Faith</v>
  </rv>
  <rv s="1">
    <v>31</v>
  </rv>
  <rv s="2">
    <fb>3159358</fb>
    <v>23</v>
  </rv>
  <rv s="2">
    <fb>11.528930000000001</fb>
    <v>36</v>
  </rv>
  <rv s="2">
    <fb>7977</fb>
    <v>23</v>
  </rv>
  <rv s="2">
    <fb>1458</fb>
    <v>26</v>
  </rv>
  <rv s="9">
    <v>54</v>
    <v>Yemen (1458. km)</v>
    <v>28</v>
    <v>55</v>
    <v>362</v>
    <v>457</v>
    <v>Yemen (1458. km)</v>
  </rv>
  <rv s="2">
    <fb>814</fb>
    <v>46</v>
  </rv>
  <rv s="9">
    <v>54</v>
    <v>Iraq (814. km)</v>
    <v>28</v>
    <v>55</v>
    <v>356</v>
    <v>459</v>
    <v>Iraq (814. km)</v>
  </rv>
  <rv s="2">
    <fb>744</fb>
    <v>46</v>
  </rv>
  <rv s="9">
    <v>54</v>
    <v>Jordan (744. km)</v>
    <v>28</v>
    <v>55</v>
    <v>357</v>
    <v>461</v>
    <v>Jordan (744. km)</v>
  </rv>
  <rv s="2">
    <fb>676</fb>
    <v>46</v>
  </rv>
  <rv s="9">
    <v>54</v>
    <v>Oman (676. km)</v>
    <v>28</v>
    <v>55</v>
    <v>359</v>
    <v>463</v>
    <v>Oman (676. km)</v>
  </rv>
  <rv s="2">
    <fb>457</fb>
    <v>46</v>
  </rv>
  <rv s="9">
    <v>54</v>
    <v>United Arab Emirates (457. km)</v>
    <v>28</v>
    <v>55</v>
    <v>361</v>
    <v>465</v>
    <v>United Arab Emirates (457. km)</v>
  </rv>
  <rv s="2">
    <fb>222</fb>
    <v>46</v>
  </rv>
  <rv s="9">
    <v>54</v>
    <v>Kuwait (222. km)</v>
    <v>28</v>
    <v>55</v>
    <v>358</v>
    <v>467</v>
    <v>Kuwait (222. km)</v>
  </rv>
  <rv s="2">
    <fb>60</fb>
    <v>36</v>
  </rv>
  <rv s="9">
    <v>54</v>
    <v>Qatar (60. km)</v>
    <v>28</v>
    <v>55</v>
    <v>360</v>
    <v>469</v>
    <v>Qatar (60. km)</v>
  </rv>
  <rv s="1">
    <v>32</v>
  </rv>
  <rv s="2">
    <fb>5377980</fb>
    <v>23</v>
  </rv>
  <rv s="2">
    <fb>1206007</fb>
    <v>23</v>
  </rv>
  <rv s="1">
    <v>33</v>
  </rv>
  <rv s="2">
    <fb>221372</fb>
    <v>23</v>
  </rv>
  <rv s="2">
    <fb>7010281</fb>
    <v>23</v>
  </rv>
  <rv s="2">
    <fb>464017</fb>
    <v>23</v>
  </rv>
  <rv s="2">
    <fb>4463223</fb>
    <v>23</v>
  </rv>
  <rv s="2">
    <fb>682</fb>
    <v>23</v>
  </rv>
  <rv s="2">
    <fb>8.2200002670288097E-2</fb>
    <v>39</v>
  </rv>
  <rv s="11">
    <v>#VALUE!</v>
    <v>en-CA</v>
    <v>wjson{"t":"e","d":"Country","e":"SaudiArabia"}</v>
    <v>536871168</v>
    <v>1</v>
    <v>56</v>
    <v>57</v>
    <v>Saudi Arabia</v>
    <v>4</v>
    <v>5</v>
    <v>City</v>
    <v>6</v>
    <v>58</v>
    <v>22</v>
    <v>351</v>
    <v>352</v>
    <v>353</v>
    <v>354</v>
    <v>355</v>
    <v>363</v>
    <v>966</v>
    <v>364</v>
    <v>365</v>
    <v>366</v>
    <v>SA</v>
    <v>367</v>
    <v>368</v>
    <v>369</v>
    <v>370</v>
    <v>375</v>
    <v>376</v>
    <v>377</v>
    <v>Kingdom of Saudi Arabia</v>
    <v>378</v>
    <v>379</v>
    <v>380</v>
    <v>381</v>
    <v>382</v>
    <v>383</v>
    <v>384</v>
    <v>385</v>
    <v>386</v>
    <v>.sa</v>
    <v>387</v>
    <v>388</v>
    <v>SAUDI ARABIA</v>
    <v>389</v>
    <v>390</v>
    <v>402</v>
    <v>407</v>
    <v>SA</v>
    <v>408</v>
    <v>409</v>
    <v>410</v>
    <v>411</v>
    <v>412</v>
    <v>413</v>
    <v>Saudi Arabia</v>
    <v>Saudi</v>
    <v>414</v>
    <v>415</v>
    <v>416</v>
    <v>417</v>
    <v>418</v>
    <v>419</v>
    <v>420</v>
    <v>421</v>
    <v>422</v>
    <v>436</v>
    <v>453</v>
    <v>454</v>
    <v>455</v>
    <v>456</v>
    <v>471</v>
    <v>472</v>
    <v>473</v>
    <v>474</v>
    <v>390</v>
    <v>475</v>
    <v>476</v>
    <v>477</v>
    <v>478</v>
    <v>SAU</v>
    <v>479</v>
    <v>480</v>
    <v>Saudi Arabia</v>
    <v>country/region</v>
  </rv>
</rvData>
</file>

<file path=xl/richData/rdrichvaluestructure.xml><?xml version="1.0" encoding="utf-8"?>
<rvStructures xmlns="http://schemas.microsoft.com/office/spreadsheetml/2017/richdata" count="12">
  <s t="_linkedentity2">
    <k n="%EntityServiceId" t="i"/>
    <k n="_DisplayString" t="s"/>
    <k n="%EntityId" t="s"/>
    <k n="%EntityCulture" t="s"/>
    <k n="_Icon" t="s"/>
  </s>
  <s t="_array">
    <k n="array" t="a"/>
  </s>
  <s t="_formattednumber">
    <k n="_Format" t="spb"/>
  </s>
  <s t="_entity">
    <k n="_Display" t="spb"/>
    <k n="_DisplayString" t="s"/>
    <k n="_Format" t="spb"/>
    <k n="ethnic group" t="s"/>
    <k n="fraction" t="r"/>
    <k n="Name" t="s"/>
  </s>
  <s t="_webimage">
    <k n="WebImageIdentifier" t="i"/>
    <k n="_Provider" t="spb"/>
    <k n="Attribution" t="spb"/>
    <k n="ComputedImage" t="b"/>
    <k n="Text" t="s"/>
  </s>
  <s t="_entity">
    <k n="_Display" t="spb"/>
    <k n="_DisplayString" t="s"/>
    <k n="_Format" t="spb"/>
    <k n="fraction" t="r"/>
    <k n="language" t="r"/>
    <k n="Name" t="s"/>
  </s>
  <s t="_entity">
    <k n="_Display" t="spb"/>
    <k n="_DisplayString" t="s"/>
    <k n="_Format" t="spb"/>
    <k n="fraction" t="r"/>
    <k n="Name" t="s"/>
    <k n="religion" t="s"/>
  </s>
  <s t="_linkedentity2core">
    <k n="_CRID" t="e"/>
    <k n="%EntityCulture" t="s"/>
    <k n="%EntityId" t="s"/>
    <k n="%EntityServiceId" t="i"/>
    <k n="%IsRefreshable" t="b"/>
    <k n="_Attribution" t="spb"/>
    <k n="_Display" t="spb"/>
    <k n="_DisplayString" t="s"/>
    <k n="_Flags" t="spb"/>
    <k n="_Format" t="spb"/>
    <k n="_Icon" t="s"/>
    <k n="_Provider" t="spb"/>
    <k n="_SubLabel" t="spb"/>
    <k n="_ViewInfo" t="spb"/>
    <k n="alternate names" t="r"/>
    <k n="annual births" t="r"/>
    <k n="annual deaths" t="r"/>
    <k n="annual‐crop land fraction" t="r"/>
    <k n="average broadband download rate" t="r"/>
    <k n="average broadband upload rate" t="r"/>
    <k n="calling code" t="s"/>
    <k n="capital city" t="r"/>
    <k n="coastline length" t="r"/>
    <k n="consumer price inflation" t="r"/>
    <k n="country code" t="s"/>
    <k n="employment" t="r"/>
    <k n="employment in agriculture" t="r"/>
    <k n="employment in industry" t="r"/>
    <k n="employment in services" t="r"/>
    <k n="ethnic mix" t="r"/>
    <k n="fixed broadband internet subscribers" t="r"/>
    <k n="flag" t="r"/>
    <k n="full name" t="s"/>
    <k n="GDP" t="r"/>
    <k n="GDP at parity" t="r"/>
    <k n="GDP per capita" t="r"/>
    <k n="GDP real growth" t="r"/>
    <k n="hospital beds" t="r"/>
    <k n="Human Development Index, education" t="r"/>
    <k n="Human Development Index, health" t="r"/>
    <k n="Human Development Index, living standards" t="r"/>
    <k n="Human Development Index, total" t="r"/>
    <k n="internet code" t="s"/>
    <k n="internet usage" t="r"/>
    <k n="IP addresses" t="r"/>
    <k n="ISO name" t="s"/>
    <k n="labor force" t="r"/>
    <k n="land area" t="r"/>
    <k n="language fractions" t="r"/>
    <k n="largest cities" t="r"/>
    <k n="license plate code" t="s"/>
    <k n="life expectancy" t="r"/>
    <k n="literacy rate" t="r"/>
    <k n="location map" t="r"/>
    <k n="long‐term unemployment rate" t="r"/>
    <k n="median age" t="r"/>
    <k n="mobile cellular subscriptions" t="r"/>
    <k n="name" t="s"/>
    <k n="nationality name" t="s"/>
    <k n="natural resources" t="r"/>
    <k n="physicians per capita" t="r"/>
    <k n="population" t="r"/>
    <k n="population density" t="r"/>
    <k n="population growth" t="r"/>
    <k n="primary school students" t="r"/>
    <k n="primary school student-teacher ratio" t="r"/>
    <k n="public education spending, percent of GDP" t="r"/>
    <k n="real GDP" t="r"/>
    <k n="regions" t="r"/>
    <k n="religions" t="r"/>
    <k n="secondary school students" t="r"/>
    <k n="secondary school student-teacher ratio" t="r"/>
    <k n="secure internet servers" t="r"/>
    <k n="telephone lines" t="r"/>
    <k n="tertiary school students" t="r"/>
    <k n="time zones" t="r"/>
    <k n="total area" t="r"/>
    <k n="total road length" t="r"/>
    <k n="total students" t="r"/>
    <k n="total teachers" t="r"/>
    <k n="UN code" t="s"/>
    <k n="UN number" t="r"/>
    <k n="unemployment rate" t="r"/>
    <k n="UniqueName" t="s"/>
    <k n="Wolfram data type" t="s"/>
  </s>
  <s t="_linkedentity2core">
    <k n="_CRID" t="e"/>
    <k n="%EntityCulture" t="s"/>
    <k n="%EntityId" t="s"/>
    <k n="%EntityServiceId" t="i"/>
    <k n="%IsRefreshable" t="b"/>
    <k n="_Attribution" t="spb"/>
    <k n="_Display" t="spb"/>
    <k n="_DisplayString" t="s"/>
    <k n="_Flags" t="spb"/>
    <k n="_Format" t="spb"/>
    <k n="_Icon" t="s"/>
    <k n="_Provider" t="spb"/>
    <k n="_SubLabel" t="spb"/>
    <k n="_ViewInfo" t="spb"/>
    <k n="alternate names" t="r"/>
    <k n="annual births" t="r"/>
    <k n="annual deaths" t="r"/>
    <k n="annual‐crop land fraction" t="r"/>
    <k n="average broadband download rate" t="r"/>
    <k n="average broadband upload rate" t="r"/>
    <k n="calling code" t="s"/>
    <k n="capital city" t="r"/>
    <k n="coastline length" t="r"/>
    <k n="consumer price inflation" t="r"/>
    <k n="country code" t="s"/>
    <k n="ethnic mix" t="r"/>
    <k n="fixed broadband internet subscribers" t="r"/>
    <k n="flag" t="r"/>
    <k n="full name" t="s"/>
    <k n="GDP" t="r"/>
    <k n="GDP at parity" t="r"/>
    <k n="GDP per capita" t="r"/>
    <k n="GDP real growth" t="r"/>
    <k n="internet code" t="s"/>
    <k n="internet usage" t="r"/>
    <k n="IP addresses" t="r"/>
    <k n="ISO name" t="s"/>
    <k n="land area" t="r"/>
    <k n="language fractions" t="r"/>
    <k n="largest cities" t="r"/>
    <k n="license plate code" t="s"/>
    <k n="life expectancy" t="r"/>
    <k n="literacy rate" t="r"/>
    <k n="location map" t="r"/>
    <k n="mobile cellular subscriptions" t="r"/>
    <k n="name" t="s"/>
    <k n="nationality name" t="s"/>
    <k n="natural resources" t="r"/>
    <k n="parent region" t="r"/>
    <k n="population" t="r"/>
    <k n="population density" t="r"/>
    <k n="population growth" t="r"/>
    <k n="primary school students" t="r"/>
    <k n="primary school student-teacher ratio" t="r"/>
    <k n="public education spending, percent of GDP" t="r"/>
    <k n="real GDP" t="r"/>
    <k n="regions" t="r"/>
    <k n="religions" t="r"/>
    <k n="secondary school students" t="r"/>
    <k n="secondary school student-teacher ratio" t="r"/>
    <k n="secure internet servers" t="r"/>
    <k n="telephone lines" t="r"/>
    <k n="tertiary school students" t="r"/>
    <k n="time zones" t="r"/>
    <k n="total area" t="r"/>
    <k n="total road length" t="r"/>
    <k n="total students" t="r"/>
    <k n="total teachers" t="r"/>
    <k n="UN code" t="s"/>
    <k n="UN number" t="r"/>
    <k n="unemployment rate" t="r"/>
    <k n="UniqueName" t="s"/>
    <k n="Wolfram data type" t="s"/>
  </s>
  <s t="_entity">
    <k n="_Display" t="spb"/>
    <k n="_DisplayString" t="s"/>
    <k n="_Format" t="spb"/>
    <k n="_SubLabel" t="spb"/>
    <k n="country/region" t="r"/>
    <k n="length" t="r"/>
    <k n="Name" t="s"/>
  </s>
  <s t="_linkedentity2core">
    <k n="_CRID" t="e"/>
    <k n="%EntityCulture" t="s"/>
    <k n="%EntityId" t="s"/>
    <k n="%EntityServiceId" t="i"/>
    <k n="%IsRefreshable" t="b"/>
    <k n="_Attribution" t="spb"/>
    <k n="_Display" t="spb"/>
    <k n="_DisplayString" t="s"/>
    <k n="_Flags" t="spb"/>
    <k n="_Format" t="spb"/>
    <k n="_Icon" t="s"/>
    <k n="_Provider" t="spb"/>
    <k n="_SubLabel" t="spb"/>
    <k n="_ViewInfo" t="spb"/>
    <k n="annual births" t="r"/>
    <k n="annual deaths" t="r"/>
    <k n="annual‐crop land fraction" t="r"/>
    <k n="average broadband download rate" t="r"/>
    <k n="average broadband upload rate" t="r"/>
    <k n="bordering countries/regions" t="r"/>
    <k n="calling code" t="s"/>
    <k n="capital city" t="r"/>
    <k n="coastline length" t="r"/>
    <k n="consumer price inflation" t="r"/>
    <k n="country code" t="s"/>
    <k n="employment" t="r"/>
    <k n="employment in agriculture" t="r"/>
    <k n="employment in industry" t="r"/>
    <k n="employment in services" t="r"/>
    <k n="ethnic mix" t="r"/>
    <k n="fixed broadband internet subscribers" t="r"/>
    <k n="flag" t="r"/>
    <k n="full name" t="s"/>
    <k n="GDP" t="r"/>
    <k n="GDP at parity" t="r"/>
    <k n="GDP per capita" t="r"/>
    <k n="GDP real growth" t="r"/>
    <k n="Gini index" t="r"/>
    <k n="hospital beds" t="r"/>
    <k n="Human Development Index, education" t="r"/>
    <k n="Human Development Index, health" t="r"/>
    <k n="Human Development Index, living standards" t="r"/>
    <k n="Human Development Index, total" t="r"/>
    <k n="internet code" t="s"/>
    <k n="internet usage" t="r"/>
    <k n="IP addresses" t="r"/>
    <k n="ISO name" t="s"/>
    <k n="labor force" t="r"/>
    <k n="land area" t="r"/>
    <k n="language fractions" t="r"/>
    <k n="largest cities" t="r"/>
    <k n="license plate code" t="s"/>
    <k n="life expectancy" t="r"/>
    <k n="literacy rate" t="r"/>
    <k n="location map" t="r"/>
    <k n="long‐term unemployment rate" t="r"/>
    <k n="median age" t="r"/>
    <k n="mobile cellular subscriptions" t="r"/>
    <k n="name" t="s"/>
    <k n="nationality name" t="s"/>
    <k n="natural resources" t="r"/>
    <k n="physicians per capita" t="r"/>
    <k n="population" t="r"/>
    <k n="population density" t="r"/>
    <k n="population growth" t="r"/>
    <k n="primary school students" t="r"/>
    <k n="primary school student-teacher ratio" t="r"/>
    <k n="public education spending, percent of GDP" t="r"/>
    <k n="real GDP" t="r"/>
    <k n="regions" t="r"/>
    <k n="religions" t="r"/>
    <k n="secondary school students" t="r"/>
    <k n="secondary school student-teacher ratio" t="r"/>
    <k n="secure internet servers" t="r"/>
    <k n="shared border lengths" t="r"/>
    <k n="telephone lines" t="r"/>
    <k n="tertiary school students" t="r"/>
    <k n="time zones" t="r"/>
    <k n="total area" t="r"/>
    <k n="total road length" t="r"/>
    <k n="total students" t="r"/>
    <k n="total teachers" t="r"/>
    <k n="UN code" t="s"/>
    <k n="UN number" t="r"/>
    <k n="unemployment rate" t="r"/>
    <k n="UniqueName" t="s"/>
    <k n="Wolfram data type" t="s"/>
  </s>
  <s t="_linkedentity2core">
    <k n="_CRID" t="e"/>
    <k n="%EntityCulture" t="s"/>
    <k n="%EntityId" t="s"/>
    <k n="%EntityServiceId" t="i"/>
    <k n="%IsRefreshable" t="b"/>
    <k n="_Attribution" t="spb"/>
    <k n="_Display" t="spb"/>
    <k n="_DisplayString" t="s"/>
    <k n="_Flags" t="spb"/>
    <k n="_Format" t="spb"/>
    <k n="_Icon" t="s"/>
    <k n="_Provider" t="spb"/>
    <k n="_SubLabel" t="spb"/>
    <k n="_ViewInfo" t="spb"/>
    <k n="annual births" t="r"/>
    <k n="annual deaths" t="r"/>
    <k n="annual‐crop land fraction" t="r"/>
    <k n="average broadband download rate" t="r"/>
    <k n="average broadband upload rate" t="r"/>
    <k n="bordering countries/regions" t="r"/>
    <k n="calling code" t="s"/>
    <k n="capital city" t="r"/>
    <k n="coastline length" t="r"/>
    <k n="consumer price inflation" t="r"/>
    <k n="country code" t="s"/>
    <k n="employment" t="r"/>
    <k n="employment in agriculture" t="r"/>
    <k n="employment in industry" t="r"/>
    <k n="employment in services" t="r"/>
    <k n="ethnic mix" t="r"/>
    <k n="fixed broadband internet subscribers" t="r"/>
    <k n="flag" t="r"/>
    <k n="full name" t="s"/>
    <k n="GDP" t="r"/>
    <k n="GDP at parity" t="r"/>
    <k n="GDP per capita" t="r"/>
    <k n="GDP real growth" t="r"/>
    <k n="hospital beds" t="r"/>
    <k n="Human Development Index, education" t="r"/>
    <k n="Human Development Index, health" t="r"/>
    <k n="Human Development Index, living standards" t="r"/>
    <k n="Human Development Index, total" t="r"/>
    <k n="internet code" t="s"/>
    <k n="internet usage" t="r"/>
    <k n="IP addresses" t="r"/>
    <k n="ISO name" t="s"/>
    <k n="labor force" t="r"/>
    <k n="land area" t="r"/>
    <k n="language fractions" t="r"/>
    <k n="largest cities" t="r"/>
    <k n="license plate code" t="s"/>
    <k n="life expectancy" t="r"/>
    <k n="literacy rate" t="r"/>
    <k n="location map" t="r"/>
    <k n="long‐term unemployment rate" t="r"/>
    <k n="median age" t="r"/>
    <k n="mobile cellular subscriptions" t="r"/>
    <k n="name" t="s"/>
    <k n="nationality name" t="s"/>
    <k n="natural resources" t="r"/>
    <k n="physicians per capita" t="r"/>
    <k n="population" t="r"/>
    <k n="population density" t="r"/>
    <k n="population growth" t="r"/>
    <k n="primary school students" t="r"/>
    <k n="primary school student-teacher ratio" t="r"/>
    <k n="public education spending, percent of GDP" t="r"/>
    <k n="real GDP" t="r"/>
    <k n="regions" t="r"/>
    <k n="religions" t="r"/>
    <k n="secondary school students" t="r"/>
    <k n="secondary school student-teacher ratio" t="r"/>
    <k n="secure internet servers" t="r"/>
    <k n="shared border lengths" t="r"/>
    <k n="telephone lines" t="r"/>
    <k n="tertiary school students" t="r"/>
    <k n="time zones" t="r"/>
    <k n="total area" t="r"/>
    <k n="total road length" t="r"/>
    <k n="total students" t="r"/>
    <k n="total teachers" t="r"/>
    <k n="total vehicles in use" t="r"/>
    <k n="UN code" t="s"/>
    <k n="UN number" t="r"/>
    <k n="unemployment rate" t="r"/>
    <k n="UniqueName" t="s"/>
    <k n="Wolfram data type" t="s"/>
  </s>
</rvStructures>
</file>

<file path=xl/richData/rdsupportingpropertybag.xml><?xml version="1.0" encoding="utf-8"?>
<supportingPropertyBags xmlns="http://schemas.microsoft.com/office/spreadsheetml/2017/richdata2">
  <spbArrays count="23">
    <a count="84">
      <v t="s">_ViewInfo</v>
      <v t="s">%EntityServiceId</v>
      <v t="s">%IsRefreshable</v>
      <v t="s">%EntityCulture</v>
      <v t="s">%EntityId</v>
      <v t="s">_Icon</v>
      <v t="s">_Provider</v>
      <v t="s">_Attribution</v>
      <v t="s">full name</v>
      <v t="s">alternate names</v>
      <v t="s">nationality name</v>
      <v t="s">ISO name</v>
      <v t="s">country code</v>
      <v t="s">internet code</v>
      <v t="s">UN code</v>
      <v t="s">UN number</v>
      <v t="s">calling code</v>
      <v t="s">license plate code</v>
      <v t="s">capital city</v>
      <v t="s">regions</v>
      <v t="s">_SubLabel</v>
      <v t="s">total area</v>
      <v t="s">land area</v>
      <v t="s">annual‐crop land fraction</v>
      <v t="s">natural resources</v>
      <v t="s">coastline length</v>
      <v t="s">time zones</v>
      <v t="s">population</v>
      <v t="s">population density</v>
      <v t="s">population growth</v>
      <v t="s">life expectancy</v>
      <v t="s">annual births</v>
      <v t="s">annual deaths</v>
      <v t="s">median age</v>
      <v t="s">GDP</v>
      <v t="s">GDP at parity</v>
      <v t="s">real GDP</v>
      <v t="s">GDP per capita</v>
      <v t="s">GDP real growth</v>
      <v t="s">consumer price inflation</v>
      <v t="s">unemployment rate</v>
      <v t="s">long‐term unemployment rate</v>
      <v t="s">labor force</v>
      <v t="s">employment in agriculture</v>
      <v t="s">employment in industry</v>
      <v t="s">employment in services</v>
      <v t="s">employment</v>
      <v t="s">language fractions</v>
      <v t="s">ethnic mix</v>
      <v t="s">religions</v>
      <v t="s">literacy rate</v>
      <v t="s">internet usage</v>
      <v t="s">mobile cellular subscriptions</v>
      <v t="s">telephone lines</v>
      <v t="s">fixed broadband internet subscribers</v>
      <v t="s">average broadband upload rate</v>
      <v t="s">average broadband download rate</v>
      <v t="s">secure internet servers</v>
      <v t="s">IP addresses</v>
      <v t="s">total road length</v>
      <v t="s">primary school students</v>
      <v t="s">secondary school students</v>
      <v t="s">tertiary school students</v>
      <v t="s">total students</v>
      <v t="s">total teachers</v>
      <v t="s">primary school student-teacher ratio</v>
      <v t="s">secondary school student-teacher ratio</v>
      <v t="s">public education spending, percent of GDP</v>
      <v t="s">physicians per capita</v>
      <v t="s">hospital beds</v>
      <v t="s">Human Development Index, health</v>
      <v t="s">Human Development Index, education</v>
      <v t="s">Human Development Index, living standards</v>
      <v t="s">Human Development Index, total</v>
      <v t="s">flag</v>
      <v t="s">largest cities</v>
      <v t="s">location map</v>
      <v t="s">_Display</v>
      <v t="s">name</v>
      <v t="s">_Format</v>
      <v t="s">_Flags</v>
      <v t="s">UniqueName</v>
      <v t="s">_DisplayString</v>
      <v t="s">Wolfram data type</v>
    </a>
    <a count="1">
      <v t="s">name</v>
    </a>
    <a count="10">
      <v t="s">full name</v>
      <v t="s">alternate names</v>
      <v t="s">nationality name</v>
      <v t="s">ISO name</v>
      <v t="s">country code</v>
      <v t="s">internet code</v>
      <v t="s">UN code</v>
      <v t="s">UN number</v>
      <v t="s">calling code</v>
      <v t="s">license plate code</v>
    </a>
    <a count="13">
      <v t="s">capital city</v>
      <v t="s">largest cities</v>
      <v t="s">bordering countries/regions</v>
      <v t="s">parent region</v>
      <v t="s">dependencies</v>
      <v t="s">regions</v>
      <v t="s">total area</v>
      <v t="s">land area</v>
      <v t="s">annual‐crop land fraction</v>
      <v t="s">natural resources</v>
      <v t="s">coastline length</v>
      <v t="s">time zones</v>
      <v t="s">wikipedia summary text</v>
    </a>
    <a count="7">
      <v t="s">population</v>
      <v t="s">population density</v>
      <v t="s">population growth</v>
      <v t="s">life expectancy</v>
      <v t="s">annual births</v>
      <v t="s">annual deaths</v>
      <v t="s">median age</v>
    </a>
    <a count="7">
      <v t="s">GDP</v>
      <v t="s">GDP at parity</v>
      <v t="s">real GDP</v>
      <v t="s">GDP per capita</v>
      <v t="s">GDP real growth</v>
      <v t="s">Gini index</v>
      <v t="s">consumer price inflation</v>
    </a>
    <a count="7">
      <v t="s">unemployment rate</v>
      <v t="s">long‐term unemployment rate</v>
      <v t="s">labor force</v>
      <v t="s">employment in agriculture</v>
      <v t="s">employment in industry</v>
      <v t="s">employment in services</v>
      <v t="s">employment</v>
    </a>
    <a count="4">
      <v t="s">language fractions</v>
      <v t="s">ethnic mix</v>
      <v t="s">religions</v>
      <v t="s">literacy rate</v>
    </a>
    <a count="8">
      <v t="s">internet usage</v>
      <v t="s">mobile cellular subscriptions</v>
      <v t="s">telephone lines</v>
      <v t="s">fixed broadband internet subscribers</v>
      <v t="s">average broadband upload rate</v>
      <v t="s">average broadband download rate</v>
      <v t="s">secure internet servers</v>
      <v t="s">IP addresses</v>
    </a>
    <a count="2">
      <v t="s">total vehicles in use</v>
      <v t="s">total road length</v>
    </a>
    <a count="9">
      <v t="s">literacy rate</v>
      <v t="s">primary school students</v>
      <v t="s">secondary school students</v>
      <v t="s">tertiary school students</v>
      <v t="s">total students</v>
      <v t="s">total teachers</v>
      <v t="s">primary school student-teacher ratio</v>
      <v t="s">secondary school student-teacher ratio</v>
      <v t="s">public education spending, percent of GDP</v>
    </a>
    <a count="3">
      <v t="s">health spending per capita</v>
      <v t="s">physicians per capita</v>
      <v t="s">hospital beds</v>
    </a>
    <a count="4">
      <v t="s">Human Development Index, health</v>
      <v t="s">Human Development Index, education</v>
      <v t="s">Human Development Index, living standards</v>
      <v t="s">Human Development Index, total</v>
    </a>
    <a count="1">
      <v t="s">flag</v>
    </a>
    <a count="1">
      <v t="s">location map</v>
    </a>
    <a count="14">
      <v t="spb">8</v>
      <v t="spb">9</v>
      <v t="spb">10</v>
      <v t="spb">11</v>
      <v t="spb">12</v>
      <v t="spb">13</v>
      <v t="spb">14</v>
      <v t="spb">15</v>
      <v t="spb">16</v>
      <v t="spb">17</v>
      <v t="spb">18</v>
      <v t="spb">19</v>
      <v t="spb">20</v>
      <v t="spb">21</v>
    </a>
    <a count="6">
      <v t="s">_Display</v>
      <v t="s">Name</v>
      <v t="s">_Format</v>
      <v t="s">_DisplayString</v>
      <v t="s">ethnic group</v>
      <v t="s">fraction</v>
    </a>
    <a count="6">
      <v t="s">_Display</v>
      <v t="s">Name</v>
      <v t="s">_Format</v>
      <v t="s">_DisplayString</v>
      <v t="s">language</v>
      <v t="s">fraction</v>
    </a>
    <a count="6">
      <v t="s">_Display</v>
      <v t="s">Name</v>
      <v t="s">_Format</v>
      <v t="s">_DisplayString</v>
      <v t="s">religion</v>
      <v t="s">fraction</v>
    </a>
    <a count="72">
      <v t="s">_ViewInfo</v>
      <v t="s">%EntityServiceId</v>
      <v t="s">%IsRefreshable</v>
      <v t="s">%EntityCulture</v>
      <v t="s">%EntityId</v>
      <v t="s">_Icon</v>
      <v t="s">_Provider</v>
      <v t="s">_Attribution</v>
      <v t="s">full name</v>
      <v t="s">alternate names</v>
      <v t="s">nationality name</v>
      <v t="s">ISO name</v>
      <v t="s">country code</v>
      <v t="s">internet code</v>
      <v t="s">UN code</v>
      <v t="s">UN number</v>
      <v t="s">calling code</v>
      <v t="s">license plate code</v>
      <v t="s">capital city</v>
      <v t="s">parent region</v>
      <v t="s">regions</v>
      <v t="s">_SubLabel</v>
      <v t="s">total area</v>
      <v t="s">land area</v>
      <v t="s">annual‐crop land fraction</v>
      <v t="s">natural resources</v>
      <v t="s">coastline length</v>
      <v t="s">time zones</v>
      <v t="s">population</v>
      <v t="s">population density</v>
      <v t="s">population growth</v>
      <v t="s">life expectancy</v>
      <v t="s">annual births</v>
      <v t="s">annual deaths</v>
      <v t="s">GDP</v>
      <v t="s">GDP at parity</v>
      <v t="s">real GDP</v>
      <v t="s">GDP per capita</v>
      <v t="s">GDP real growth</v>
      <v t="s">consumer price inflation</v>
      <v t="s">unemployment rate</v>
      <v t="s">language fractions</v>
      <v t="s">ethnic mix</v>
      <v t="s">religions</v>
      <v t="s">literacy rate</v>
      <v t="s">internet usage</v>
      <v t="s">mobile cellular subscriptions</v>
      <v t="s">telephone lines</v>
      <v t="s">fixed broadband internet subscribers</v>
      <v t="s">average broadband upload rate</v>
      <v t="s">average broadband download rate</v>
      <v t="s">secure internet servers</v>
      <v t="s">IP addresses</v>
      <v t="s">total road length</v>
      <v t="s">primary school students</v>
      <v t="s">secondary school students</v>
      <v t="s">tertiary school students</v>
      <v t="s">total students</v>
      <v t="s">total teachers</v>
      <v t="s">primary school student-teacher ratio</v>
      <v t="s">secondary school student-teacher ratio</v>
      <v t="s">public education spending, percent of GDP</v>
      <v t="s">flag</v>
      <v t="s">largest cities</v>
      <v t="s">location map</v>
      <v t="s">_Display</v>
      <v t="s">name</v>
      <v t="s">_Format</v>
      <v t="s">_Flags</v>
      <v t="s">UniqueName</v>
      <v t="s">_DisplayString</v>
      <v t="s">Wolfram data type</v>
    </a>
    <a count="86">
      <v t="s">_ViewInfo</v>
      <v t="s">%EntityServiceId</v>
      <v t="s">%IsRefreshable</v>
      <v t="s">%EntityCulture</v>
      <v t="s">%EntityId</v>
      <v t="s">_Icon</v>
      <v t="s">_Provider</v>
      <v t="s">_Attribution</v>
      <v t="s">full name</v>
      <v t="s">nationality name</v>
      <v t="s">ISO name</v>
      <v t="s">country code</v>
      <v t="s">internet code</v>
      <v t="s">UN code</v>
      <v t="s">UN number</v>
      <v t="s">calling code</v>
      <v t="s">license plate code</v>
      <v t="s">capital city</v>
      <v t="s">bordering countries/regions</v>
      <v t="s">regions</v>
      <v t="s">_SubLabel</v>
      <v t="s">total area</v>
      <v t="s">land area</v>
      <v t="s">annual‐crop land fraction</v>
      <v t="s">natural resources</v>
      <v t="s">coastline length</v>
      <v t="s">time zones</v>
      <v t="s">population</v>
      <v t="s">population density</v>
      <v t="s">population growth</v>
      <v t="s">life expectancy</v>
      <v t="s">annual births</v>
      <v t="s">annual deaths</v>
      <v t="s">median age</v>
      <v t="s">GDP</v>
      <v t="s">GDP at parity</v>
      <v t="s">real GDP</v>
      <v t="s">GDP per capita</v>
      <v t="s">GDP real growth</v>
      <v t="s">Gini index</v>
      <v t="s">consumer price inflation</v>
      <v t="s">unemployment rate</v>
      <v t="s">long‐term unemployment rate</v>
      <v t="s">labor force</v>
      <v t="s">employment in agriculture</v>
      <v t="s">employment in industry</v>
      <v t="s">employment in services</v>
      <v t="s">employment</v>
      <v t="s">language fractions</v>
      <v t="s">ethnic mix</v>
      <v t="s">religions</v>
      <v t="s">literacy rate</v>
      <v t="s">internet usage</v>
      <v t="s">mobile cellular subscriptions</v>
      <v t="s">telephone lines</v>
      <v t="s">fixed broadband internet subscribers</v>
      <v t="s">average broadband upload rate</v>
      <v t="s">average broadband download rate</v>
      <v t="s">secure internet servers</v>
      <v t="s">IP addresses</v>
      <v t="s">total road length</v>
      <v t="s">primary school students</v>
      <v t="s">secondary school students</v>
      <v t="s">tertiary school students</v>
      <v t="s">total students</v>
      <v t="s">total teachers</v>
      <v t="s">primary school student-teacher ratio</v>
      <v t="s">secondary school student-teacher ratio</v>
      <v t="s">public education spending, percent of GDP</v>
      <v t="s">physicians per capita</v>
      <v t="s">hospital beds</v>
      <v t="s">Human Development Index, health</v>
      <v t="s">Human Development Index, education</v>
      <v t="s">Human Development Index, living standards</v>
      <v t="s">Human Development Index, total</v>
      <v t="s">flag</v>
      <v t="s">shared border lengths</v>
      <v t="s">largest cities</v>
      <v t="s">location map</v>
      <v t="s">_Display</v>
      <v t="s">name</v>
      <v t="s">_Format</v>
      <v t="s">_Flags</v>
      <v t="s">UniqueName</v>
      <v t="s">_DisplayString</v>
      <v t="s">Wolfram data type</v>
    </a>
    <a count="7">
      <v t="s">_Display</v>
      <v t="s">Name</v>
      <v t="s">_Format</v>
      <v t="s">_DisplayString</v>
      <v t="s">country/region</v>
      <v t="s">_SubLabel</v>
      <v t="s">length</v>
    </a>
    <a count="86">
      <v t="s">_ViewInfo</v>
      <v t="s">%EntityServiceId</v>
      <v t="s">%IsRefreshable</v>
      <v t="s">%EntityCulture</v>
      <v t="s">%EntityId</v>
      <v t="s">_Icon</v>
      <v t="s">_Provider</v>
      <v t="s">_Attribution</v>
      <v t="s">full name</v>
      <v t="s">nationality name</v>
      <v t="s">ISO name</v>
      <v t="s">country code</v>
      <v t="s">internet code</v>
      <v t="s">UN code</v>
      <v t="s">UN number</v>
      <v t="s">calling code</v>
      <v t="s">license plate code</v>
      <v t="s">capital city</v>
      <v t="s">bordering countries/regions</v>
      <v t="s">regions</v>
      <v t="s">_SubLabel</v>
      <v t="s">total area</v>
      <v t="s">land area</v>
      <v t="s">annual‐crop land fraction</v>
      <v t="s">natural resources</v>
      <v t="s">coastline length</v>
      <v t="s">time zones</v>
      <v t="s">population</v>
      <v t="s">population density</v>
      <v t="s">population growth</v>
      <v t="s">life expectancy</v>
      <v t="s">annual births</v>
      <v t="s">annual deaths</v>
      <v t="s">median age</v>
      <v t="s">GDP</v>
      <v t="s">GDP at parity</v>
      <v t="s">real GDP</v>
      <v t="s">GDP per capita</v>
      <v t="s">GDP real growth</v>
      <v t="s">consumer price inflation</v>
      <v t="s">unemployment rate</v>
      <v t="s">long‐term unemployment rate</v>
      <v t="s">labor force</v>
      <v t="s">employment in agriculture</v>
      <v t="s">employment in industry</v>
      <v t="s">employment in services</v>
      <v t="s">employment</v>
      <v t="s">language fractions</v>
      <v t="s">ethnic mix</v>
      <v t="s">religions</v>
      <v t="s">literacy rate</v>
      <v t="s">internet usage</v>
      <v t="s">mobile cellular subscriptions</v>
      <v t="s">telephone lines</v>
      <v t="s">fixed broadband internet subscribers</v>
      <v t="s">average broadband upload rate</v>
      <v t="s">average broadband download rate</v>
      <v t="s">secure internet servers</v>
      <v t="s">IP addresses</v>
      <v t="s">total vehicles in use</v>
      <v t="s">total road length</v>
      <v t="s">primary school students</v>
      <v t="s">secondary school students</v>
      <v t="s">tertiary school students</v>
      <v t="s">total students</v>
      <v t="s">total teachers</v>
      <v t="s">primary school student-teacher ratio</v>
      <v t="s">secondary school student-teacher ratio</v>
      <v t="s">public education spending, percent of GDP</v>
      <v t="s">physicians per capita</v>
      <v t="s">hospital beds</v>
      <v t="s">Human Development Index, health</v>
      <v t="s">Human Development Index, education</v>
      <v t="s">Human Development Index, living standards</v>
      <v t="s">Human Development Index, total</v>
      <v t="s">flag</v>
      <v t="s">shared border lengths</v>
      <v t="s">largest cities</v>
      <v t="s">location map</v>
      <v t="s">_Display</v>
      <v t="s">name</v>
      <v t="s">_Format</v>
      <v t="s">_Flags</v>
      <v t="s">UniqueName</v>
      <v t="s">_DisplayString</v>
      <v t="s">Wolfram data type</v>
    </a>
  </spbArrays>
  <spbData count="60">
    <spb s="0">
      <v xml:space="preserve">Wolfram Knowledgebase	</v>
      <v xml:space="preserve">	</v>
      <v xml:space="preserve">https://www.wolfram.com/knowledgebase/source-information/?page=CountryData	</v>
      <v xml:space="preserve">	</v>
    </spb>
    <spb s="1"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</spb>
    <spb s="2">
      <v>0</v>
      <v>name</v>
    </spb>
    <spb s="3">
      <v>0</v>
      <v>0</v>
      <v>0</v>
    </spb>
    <spb s="4">
      <v>3</v>
    </spb>
    <spb s="5">
      <v>1</v>
    </spb>
    <spb s="6">
      <v>https://www.wolframalpha.com</v>
      <v>https://mswolfram-prod-tm.office.net/webKernel/Resources/Images/wa-ms-logo.png</v>
      <v>Powered by Wolfram</v>
    </spb>
    <spb s="7">
      <v>US dollars per year</v>
      <v>US dollars per year</v>
      <v>kilometers squared</v>
      <v>people</v>
      <v>years</v>
      <v>people</v>
      <v>kilometers squared</v>
      <v>people</v>
      <v>US dollars per year</v>
      <v>people per year</v>
      <v>people per year</v>
      <v>reciprocal people</v>
      <v>US dollars per person year</v>
      <v>people</v>
      <v>people</v>
      <v>people</v>
      <v>percent per year</v>
      <v>years</v>
      <v>kilometers</v>
      <v>percent per year</v>
      <v>kilometers</v>
      <v>people per kilometer squared</v>
      <v>people per person</v>
      <v>people</v>
      <v>people</v>
      <v>people</v>
      <v>percent per year</v>
      <v>people</v>
      <v>people</v>
      <v>people</v>
      <v>megabits per second</v>
      <v>megabits per second</v>
      <v>people</v>
    </spb>
    <spb s="8">
      <v>1</v>
    </spb>
    <spb s="9">
      <v>Identifiers</v>
      <v>2</v>
    </spb>
    <spb s="9">
      <v>Geography</v>
      <v>3</v>
    </spb>
    <spb s="9">
      <v>Demographics</v>
      <v>4</v>
    </spb>
    <spb s="9">
      <v>Economy</v>
      <v>5</v>
    </spb>
    <spb s="9">
      <v>Employment</v>
      <v>6</v>
    </spb>
    <spb s="9">
      <v>Culture</v>
      <v>7</v>
    </spb>
    <spb s="9">
      <v>Media and Telecommunications</v>
      <v>8</v>
    </spb>
    <spb s="9">
      <v>Transportation</v>
      <v>9</v>
    </spb>
    <spb s="9">
      <v>Education</v>
      <v>10</v>
    </spb>
    <spb s="9">
      <v>Health Care</v>
      <v>11</v>
    </spb>
    <spb s="9">
      <v>UN Human Development Index</v>
      <v>12</v>
    </spb>
    <spb s="9">
      <v>Flag Image</v>
      <v>13</v>
    </spb>
    <spb s="9">
      <v>Location Image</v>
      <v>14</v>
    </spb>
    <spb s="10">
      <v>15</v>
    </spb>
    <spb s="11">
      <v>2</v>
    </spb>
    <spb s="11">
      <v>3</v>
    </spb>
    <spb s="11">
      <v>4</v>
    </spb>
    <spb s="11">
      <v>5</v>
    </spb>
    <spb s="2">
      <v>16</v>
      <v>Name</v>
    </spb>
    <spb s="12">
      <v>1</v>
    </spb>
    <spb s="11">
      <v>6</v>
    </spb>
    <spb s="11">
      <v>7</v>
    </spb>
    <spb s="0">
      <v xml:space="preserve">en.wikipedia.org	</v>
      <v xml:space="preserve">public domain	</v>
      <v xml:space="preserve">http://en.wikipedia.org/wiki/File:Flag_of_the_Bahamas.svg	</v>
      <v xml:space="preserve">https://creativecommons.org/share-your-work/public-domain/	</v>
    </spb>
    <spb s="11">
      <v>8</v>
    </spb>
    <spb s="11">
      <v>9</v>
    </spb>
    <spb s="11">
      <v>10</v>
    </spb>
    <spb s="2">
      <v>17</v>
      <v>Name</v>
    </spb>
    <spb s="11">
      <v>11</v>
    </spb>
    <spb s="11">
      <v>12</v>
    </spb>
    <spb s="0">
      <v xml:space="preserve">Wolfram	</v>
      <v xml:space="preserve">© Wolfram	</v>
      <v xml:space="preserve">https://www.wolframalpha.com	</v>
      <v xml:space="preserve">https://www.wolframalpha.com	</v>
    </spb>
    <spb s="11">
      <v>13</v>
    </spb>
    <spb s="11">
      <v>14</v>
    </spb>
    <spb s="2">
      <v>18</v>
      <v>Name</v>
    </spb>
    <spb s="11">
      <v>15</v>
    </spb>
    <spb s="13"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</spb>
    <spb s="2">
      <v>19</v>
      <v>name</v>
    </spb>
    <spb s="14">
      <v>US dollars per year</v>
      <v>US dollars per year</v>
      <v>kilometers squared</v>
      <v>people</v>
      <v>kilometers squared</v>
      <v>US dollars per year</v>
      <v>people per year</v>
      <v>people per year</v>
      <v>US dollars per person year</v>
      <v>people</v>
      <v>people</v>
      <v>people</v>
      <v>percent per year</v>
      <v>years</v>
      <v>kilometers</v>
      <v>percent per year</v>
      <v>kilometers</v>
      <v>people per kilometer squared</v>
      <v>people</v>
      <v>percent per year</v>
      <v>people</v>
      <v>people</v>
      <v>megabits per second</v>
      <v>megabits per second</v>
      <v>people</v>
    </spb>
    <spb s="11">
      <v>16</v>
    </spb>
    <spb s="0">
      <v xml:space="preserve">en.wikipedia.org	</v>
      <v xml:space="preserve">public domain	</v>
      <v xml:space="preserve">http://en.wikipedia.org/wiki/File:Flag_of_the_Cayman_Islands.svg	</v>
      <v xml:space="preserve">https://creativecommons.org/share-your-work/public-domain/	</v>
    </spb>
    <spb s="15"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</spb>
    <spb s="2">
      <v>20</v>
      <v>name</v>
    </spb>
    <spb s="0">
      <v xml:space="preserve">en.wikipedia.org	</v>
      <v xml:space="preserve">public domain	</v>
      <v xml:space="preserve">http://en.wikipedia.org/wiki/File:Flag_of_Egypt.svg	</v>
      <v xml:space="preserve">https://creativecommons.org/share-your-work/public-domain/	</v>
    </spb>
    <spb s="11">
      <v>17</v>
    </spb>
    <spb s="11">
      <v>18</v>
    </spb>
    <spb s="11">
      <v>19</v>
    </spb>
    <spb s="2">
      <v>21</v>
      <v>Name</v>
    </spb>
    <spb s="16">
      <v>kilometers</v>
    </spb>
    <spb s="17"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  <v>0</v>
    </spb>
    <spb s="2">
      <v>22</v>
      <v>name</v>
    </spb>
    <spb s="18">
      <v>US dollars per year</v>
      <v>US dollars per year</v>
      <v>kilometers squared</v>
      <v>people</v>
      <v>years</v>
      <v>people</v>
      <v>kilometers squared</v>
      <v>people</v>
      <v>US dollars per year</v>
      <v>people per year</v>
      <v>people per year</v>
      <v>reciprocal people</v>
      <v>US dollars per person year</v>
      <v>people</v>
      <v>people</v>
      <v>people</v>
      <v>percent per year</v>
      <v>years</v>
      <v>kilometers</v>
      <v>percent per year</v>
      <v>kilometers</v>
      <v>people per kilometer squared</v>
      <v>people per person</v>
      <v>vehicles</v>
      <v>people</v>
      <v>people</v>
      <v>people</v>
      <v>percent per year</v>
      <v>people</v>
      <v>people</v>
      <v>people</v>
      <v>megabits per second</v>
      <v>megabits per second</v>
      <v>people</v>
    </spb>
    <spb s="0">
      <v xml:space="preserve">en.wikipedia.org	</v>
      <v xml:space="preserve">public domain	</v>
      <v xml:space="preserve">http://en.wikipedia.org/wiki/File:Flag_of_Saudi_Arabia.svg	</v>
      <v xml:space="preserve">https://creativecommons.org/share-your-work/public-domain/	</v>
    </spb>
  </spbData>
</supportingPropertyBags>
</file>

<file path=xl/richData/rdsupportingpropertybagstructure.xml><?xml version="1.0" encoding="utf-8"?>
<spbStructures xmlns="http://schemas.microsoft.com/office/spreadsheetml/2017/richdata2" count="19">
  <s>
    <k n="SourceText" t="s"/>
    <k n="LicenseText" t="s"/>
    <k n="SourceAddress" t="s"/>
    <k n="LicenseAddress" t="s"/>
  </s>
  <s>
    <k n="GDP" t="spb"/>
    <k n="name" t="spb"/>
    <k n="UN code" t="spb"/>
    <k n="ISO name" t="spb"/>
    <k n="real GDP" t="spb"/>
    <k n="UN number" t="spb"/>
    <k n="full name" t="spb"/>
    <k n="land area" t="spb"/>
    <k n="UniqueName" t="spb"/>
    <k n="employment" t="spb"/>
    <k n="median age" t="spb"/>
    <k n="population" t="spb"/>
    <k n="total area" t="spb"/>
    <k n="labor force" t="spb"/>
    <k n="IP addresses" t="spb"/>
    <k n="calling code" t="spb"/>
    <k n="capital city" t="spb"/>
    <k n="country code" t="spb"/>
    <k n="GDP at parity" t="spb"/>
    <k n="annual births" t="spb"/>
    <k n="annual deaths" t="spb"/>
    <k n="hospital beds" t="spb"/>
    <k n="internet code" t="spb"/>
    <k n="literacy rate" t="spb"/>
    <k n="GDP per capita" t="spb"/>
    <k n="internet usage" t="spb"/>
    <k n="total students" t="spb"/>
    <k n="total teachers" t="spb"/>
    <k n="GDP real growth" t="spb"/>
    <k n="life expectancy" t="spb"/>
    <k n="telephone lines" t="spb"/>
    <k n="coastline length" t="spb"/>
    <k n="nationality name" t="spb"/>
    <k n="Wolfram data type" t="spb"/>
    <k n="population growth" t="spb"/>
    <k n="total road length" t="spb"/>
    <k n="unemployment rate" t="spb"/>
    <k n="license plate code" t="spb"/>
    <k n="population density" t="spb"/>
    <k n="physicians per capita" t="spb"/>
    <k n="employment in industry" t="spb"/>
    <k n="employment in services" t="spb"/>
    <k n="primary school students" t="spb"/>
    <k n="secure internet servers" t="spb"/>
    <k n="consumer price inflation" t="spb"/>
    <k n="tertiary school students" t="spb"/>
    <k n="annual‐crop land fraction" t="spb"/>
    <k n="employment in agriculture" t="spb"/>
    <k n="secondary school students" t="spb"/>
    <k n="long‐term unemployment rate" t="spb"/>
    <k n="average broadband upload rate" t="spb"/>
    <k n="mobile cellular subscriptions" t="spb"/>
    <k n="Human Development Index, total" t="spb"/>
    <k n="Human Development Index, health" t="spb"/>
    <k n="average broadband download rate" t="spb"/>
    <k n="Human Development Index, education" t="spb"/>
    <k n="fixed broadband internet subscribers" t="spb"/>
    <k n="primary school student-teacher ratio" t="spb"/>
    <k n="secondary school student-teacher ratio" t="spb"/>
    <k n="Human Development Index, living standards" t="spb"/>
    <k n="public education spending, percent of GDP" t="spb"/>
  </s>
  <s>
    <k n="^Order" t="spba"/>
    <k n="TitleProperty" t="s"/>
  </s>
  <s>
    <k n="ShowInCardView" t="b"/>
    <k n="ShowInDotNotation" t="b"/>
    <k n="ShowInAutoComplete" t="b"/>
  </s>
  <s>
    <k n="UniqueName" t="spb"/>
  </s>
  <s>
    <k n="name" t="i"/>
  </s>
  <s>
    <k n="link" t="s"/>
    <k n="logo" t="s"/>
    <k n="name" t="s"/>
  </s>
  <s>
    <k n="GDP" t="s"/>
    <k n="real GDP" t="s"/>
    <k n="land area" t="s"/>
    <k n="employment" t="s"/>
    <k n="median age" t="s"/>
    <k n="population" t="s"/>
    <k n="total area" t="s"/>
    <k n="labor force" t="s"/>
    <k n="GDP at parity" t="s"/>
    <k n="annual births" t="s"/>
    <k n="annual deaths" t="s"/>
    <k n="hospital beds" t="s"/>
    <k n="GDP per capita" t="s"/>
    <k n="internet usage" t="s"/>
    <k n="total students" t="s"/>
    <k n="total teachers" t="s"/>
    <k n="GDP real growth" t="s"/>
    <k n="life expectancy" t="s"/>
    <k n="coastline length" t="s"/>
    <k n="population growth" t="s"/>
    <k n="total road length" t="s"/>
    <k n="population density" t="s"/>
    <k n="physicians per capita" t="s"/>
    <k n="employment in industry" t="s"/>
    <k n="employment in services" t="s"/>
    <k n="primary school students" t="s"/>
    <k n="consumer price inflation" t="s"/>
    <k n="tertiary school students" t="s"/>
    <k n="employment in agriculture" t="s"/>
    <k n="secondary school students" t="s"/>
    <k n="average broadband upload rate" t="s"/>
    <k n="average broadband download rate" t="s"/>
    <k n="fixed broadband internet subscribers" t="s"/>
  </s>
  <s>
    <k n="fields" t="spba"/>
  </s>
  <s>
    <k n="title" t="s"/>
    <k n="fields" t="spba"/>
  </s>
  <s>
    <k n="pods" t="spba"/>
  </s>
  <s>
    <k n="_Self" t="i"/>
  </s>
  <s>
    <k n="Name" t="i"/>
  </s>
  <s>
    <k n="GDP" t="spb"/>
    <k n="name" t="spb"/>
    <k n="UN code" t="spb"/>
    <k n="ISO name" t="spb"/>
    <k n="real GDP" t="spb"/>
    <k n="UN number" t="spb"/>
    <k n="full name" t="spb"/>
    <k n="land area" t="spb"/>
    <k n="UniqueName" t="spb"/>
    <k n="population" t="spb"/>
    <k n="total area" t="spb"/>
    <k n="IP addresses" t="spb"/>
    <k n="calling code" t="spb"/>
    <k n="capital city" t="spb"/>
    <k n="country code" t="spb"/>
    <k n="GDP at parity" t="spb"/>
    <k n="annual births" t="spb"/>
    <k n="annual deaths" t="spb"/>
    <k n="internet code" t="spb"/>
    <k n="literacy rate" t="spb"/>
    <k n="parent region" t="spb"/>
    <k n="GDP per capita" t="spb"/>
    <k n="internet usage" t="spb"/>
    <k n="total students" t="spb"/>
    <k n="total teachers" t="spb"/>
    <k n="GDP real growth" t="spb"/>
    <k n="life expectancy" t="spb"/>
    <k n="telephone lines" t="spb"/>
    <k n="coastline length" t="spb"/>
    <k n="nationality name" t="spb"/>
    <k n="Wolfram data type" t="spb"/>
    <k n="population growth" t="spb"/>
    <k n="total road length" t="spb"/>
    <k n="unemployment rate" t="spb"/>
    <k n="license plate code" t="spb"/>
    <k n="population density" t="spb"/>
    <k n="primary school students" t="spb"/>
    <k n="secure internet servers" t="spb"/>
    <k n="consumer price inflation" t="spb"/>
    <k n="tertiary school students" t="spb"/>
    <k n="annual‐crop land fraction" t="spb"/>
    <k n="secondary school students" t="spb"/>
    <k n="average broadband upload rate" t="spb"/>
    <k n="mobile cellular subscriptions" t="spb"/>
    <k n="average broadband download rate" t="spb"/>
    <k n="fixed broadband internet subscribers" t="spb"/>
    <k n="primary school student-teacher ratio" t="spb"/>
    <k n="secondary school student-teacher ratio" t="spb"/>
    <k n="public education spending, percent of GDP" t="spb"/>
  </s>
  <s>
    <k n="GDP" t="s"/>
    <k n="real GDP" t="s"/>
    <k n="land area" t="s"/>
    <k n="population" t="s"/>
    <k n="total area" t="s"/>
    <k n="GDP at parity" t="s"/>
    <k n="annual births" t="s"/>
    <k n="annual deaths" t="s"/>
    <k n="GDP per capita" t="s"/>
    <k n="internet usage" t="s"/>
    <k n="total students" t="s"/>
    <k n="total teachers" t="s"/>
    <k n="GDP real growth" t="s"/>
    <k n="life expectancy" t="s"/>
    <k n="coastline length" t="s"/>
    <k n="population growth" t="s"/>
    <k n="total road length" t="s"/>
    <k n="population density" t="s"/>
    <k n="primary school students" t="s"/>
    <k n="consumer price inflation" t="s"/>
    <k n="tertiary school students" t="s"/>
    <k n="secondary school students" t="s"/>
    <k n="average broadband upload rate" t="s"/>
    <k n="average broadband download rate" t="s"/>
    <k n="fixed broadband internet subscribers" t="s"/>
  </s>
  <s>
    <k n="GDP" t="spb"/>
    <k n="name" t="spb"/>
    <k n="UN code" t="spb"/>
    <k n="ISO name" t="spb"/>
    <k n="real GDP" t="spb"/>
    <k n="UN number" t="spb"/>
    <k n="full name" t="spb"/>
    <k n="land area" t="spb"/>
    <k n="Gini index" t="spb"/>
    <k n="UniqueName" t="spb"/>
    <k n="employment" t="spb"/>
    <k n="median age" t="spb"/>
    <k n="population" t="spb"/>
    <k n="total area" t="spb"/>
    <k n="labor force" t="spb"/>
    <k n="IP addresses" t="spb"/>
    <k n="calling code" t="spb"/>
    <k n="capital city" t="spb"/>
    <k n="country code" t="spb"/>
    <k n="GDP at parity" t="spb"/>
    <k n="annual births" t="spb"/>
    <k n="annual deaths" t="spb"/>
    <k n="hospital beds" t="spb"/>
    <k n="internet code" t="spb"/>
    <k n="literacy rate" t="spb"/>
    <k n="GDP per capita" t="spb"/>
    <k n="internet usage" t="spb"/>
    <k n="total students" t="spb"/>
    <k n="total teachers" t="spb"/>
    <k n="GDP real growth" t="spb"/>
    <k n="life expectancy" t="spb"/>
    <k n="telephone lines" t="spb"/>
    <k n="coastline length" t="spb"/>
    <k n="nationality name" t="spb"/>
    <k n="Wolfram data type" t="spb"/>
    <k n="population growth" t="spb"/>
    <k n="total road length" t="spb"/>
    <k n="unemployment rate" t="spb"/>
    <k n="license plate code" t="spb"/>
    <k n="population density" t="spb"/>
    <k n="physicians per capita" t="spb"/>
    <k n="employment in industry" t="spb"/>
    <k n="employment in services" t="spb"/>
    <k n="primary school students" t="spb"/>
    <k n="secure internet servers" t="spb"/>
    <k n="consumer price inflation" t="spb"/>
    <k n="tertiary school students" t="spb"/>
    <k n="annual‐crop land fraction" t="spb"/>
    <k n="employment in agriculture" t="spb"/>
    <k n="secondary school students" t="spb"/>
    <k n="long‐term unemployment rate" t="spb"/>
    <k n="average broadband upload rate" t="spb"/>
    <k n="mobile cellular subscriptions" t="spb"/>
    <k n="Human Development Index, total" t="spb"/>
    <k n="Human Development Index, health" t="spb"/>
    <k n="average broadband download rate" t="spb"/>
    <k n="Human Development Index, education" t="spb"/>
    <k n="fixed broadband internet subscribers" t="spb"/>
    <k n="primary school student-teacher ratio" t="spb"/>
    <k n="secondary school student-teacher ratio" t="spb"/>
    <k n="Human Development Index, living standards" t="spb"/>
    <k n="public education spending, percent of GDP" t="spb"/>
  </s>
  <s>
    <k n="length" t="s"/>
  </s>
  <s>
    <k n="GDP" t="spb"/>
    <k n="name" t="spb"/>
    <k n="UN code" t="spb"/>
    <k n="ISO name" t="spb"/>
    <k n="real GDP" t="spb"/>
    <k n="UN number" t="spb"/>
    <k n="full name" t="spb"/>
    <k n="land area" t="spb"/>
    <k n="UniqueName" t="spb"/>
    <k n="employment" t="spb"/>
    <k n="median age" t="spb"/>
    <k n="population" t="spb"/>
    <k n="total area" t="spb"/>
    <k n="labor force" t="spb"/>
    <k n="IP addresses" t="spb"/>
    <k n="calling code" t="spb"/>
    <k n="capital city" t="spb"/>
    <k n="country code" t="spb"/>
    <k n="GDP at parity" t="spb"/>
    <k n="annual births" t="spb"/>
    <k n="annual deaths" t="spb"/>
    <k n="hospital beds" t="spb"/>
    <k n="internet code" t="spb"/>
    <k n="literacy rate" t="spb"/>
    <k n="GDP per capita" t="spb"/>
    <k n="internet usage" t="spb"/>
    <k n="total students" t="spb"/>
    <k n="total teachers" t="spb"/>
    <k n="GDP real growth" t="spb"/>
    <k n="life expectancy" t="spb"/>
    <k n="telephone lines" t="spb"/>
    <k n="coastline length" t="spb"/>
    <k n="nationality name" t="spb"/>
    <k n="Wolfram data type" t="spb"/>
    <k n="population growth" t="spb"/>
    <k n="total road length" t="spb"/>
    <k n="unemployment rate" t="spb"/>
    <k n="license plate code" t="spb"/>
    <k n="population density" t="spb"/>
    <k n="physicians per capita" t="spb"/>
    <k n="total vehicles in use" t="spb"/>
    <k n="employment in industry" t="spb"/>
    <k n="employment in services" t="spb"/>
    <k n="primary school students" t="spb"/>
    <k n="secure internet servers" t="spb"/>
    <k n="consumer price inflation" t="spb"/>
    <k n="tertiary school students" t="spb"/>
    <k n="annual‐crop land fraction" t="spb"/>
    <k n="employment in agriculture" t="spb"/>
    <k n="secondary school students" t="spb"/>
    <k n="long‐term unemployment rate" t="spb"/>
    <k n="average broadband upload rate" t="spb"/>
    <k n="mobile cellular subscriptions" t="spb"/>
    <k n="Human Development Index, total" t="spb"/>
    <k n="Human Development Index, health" t="spb"/>
    <k n="average broadband download rate" t="spb"/>
    <k n="Human Development Index, education" t="spb"/>
    <k n="fixed broadband internet subscribers" t="spb"/>
    <k n="primary school student-teacher ratio" t="spb"/>
    <k n="secondary school student-teacher ratio" t="spb"/>
    <k n="Human Development Index, living standards" t="spb"/>
    <k n="public education spending, percent of GDP" t="spb"/>
  </s>
  <s>
    <k n="GDP" t="s"/>
    <k n="real GDP" t="s"/>
    <k n="land area" t="s"/>
    <k n="employment" t="s"/>
    <k n="median age" t="s"/>
    <k n="population" t="s"/>
    <k n="total area" t="s"/>
    <k n="labor force" t="s"/>
    <k n="GDP at parity" t="s"/>
    <k n="annual births" t="s"/>
    <k n="annual deaths" t="s"/>
    <k n="hospital beds" t="s"/>
    <k n="GDP per capita" t="s"/>
    <k n="internet usage" t="s"/>
    <k n="total students" t="s"/>
    <k n="total teachers" t="s"/>
    <k n="GDP real growth" t="s"/>
    <k n="life expectancy" t="s"/>
    <k n="coastline length" t="s"/>
    <k n="population growth" t="s"/>
    <k n="total road length" t="s"/>
    <k n="population density" t="s"/>
    <k n="physicians per capita" t="s"/>
    <k n="total vehicles in use" t="s"/>
    <k n="employment in industry" t="s"/>
    <k n="employment in services" t="s"/>
    <k n="primary school students" t="s"/>
    <k n="consumer price inflation" t="s"/>
    <k n="tertiary school students" t="s"/>
    <k n="employment in agriculture" t="s"/>
    <k n="secondary school students" t="s"/>
    <k n="average broadband upload rate" t="s"/>
    <k n="average broadband download rate" t="s"/>
    <k n="fixed broadband internet subscribers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8">
    <x:dxf>
      <x:numFmt numFmtId="3" formatCode="#,##0"/>
    </x:dxf>
    <x:dxf>
      <x:numFmt numFmtId="179" formatCode="#,##0.0"/>
    </x:dxf>
    <x:dxf>
      <x:numFmt numFmtId="178" formatCode="0.000000%"/>
    </x:dxf>
    <x:dxf>
      <x:numFmt numFmtId="4" formatCode="#,##0.00"/>
    </x:dxf>
    <x:dxf>
      <x:numFmt numFmtId="177" formatCode="#,##0.0000"/>
    </x:dxf>
    <x:dxf>
      <x:numFmt numFmtId="176" formatCode="#,##0.000000"/>
    </x:dxf>
    <x:dxf>
      <x:numFmt numFmtId="175" formatCode="_([$$-409]* #,##0_);_([$$-409]* \(#,##0\);_([$$-409]* &quot;-&quot;_);_(@_)"/>
    </x:dxf>
    <x:dxf>
      <x:numFmt numFmtId="174" formatCode="_([$$-409]* #,##0.0_);_([$$-409]* \(#,##0.0\);_([$$-409]* &quot;-&quot;?_);_(@_)"/>
    </x:dxf>
    <x:dxf>
      <x:numFmt numFmtId="173" formatCode="#,##0.00000"/>
    </x:dxf>
    <x:dxf>
      <x:numFmt numFmtId="172" formatCode="0.0000%"/>
    </x:dxf>
    <x:dxf>
      <x:numFmt numFmtId="171" formatCode="0.00000%"/>
    </x:dxf>
    <x:dxf>
      <x:numFmt numFmtId="170" formatCode="#,##0.0000000"/>
    </x:dxf>
    <x:dxf>
      <x:numFmt numFmtId="169" formatCode="#,##0.00000000"/>
    </x:dxf>
    <x:dxf>
      <x:numFmt numFmtId="168" formatCode="#,##0.000000000"/>
    </x:dxf>
    <x:dxf>
      <x:numFmt numFmtId="167" formatCode="#,##0.000"/>
    </x:dxf>
    <x:dxf>
      <x:numFmt numFmtId="166" formatCode="_([$$-409]* #,##0.00_);_([$$-409]* \(#,##0.00\);_([$$-409]* &quot;-&quot;??_);_(@_)"/>
    </x:dxf>
    <x:dxf>
      <x:numFmt numFmtId="165" formatCode="#,##0.0000000000"/>
    </x:dxf>
    <x:dxf>
      <x:numFmt numFmtId="164" formatCode="#,##0.00000000000"/>
    </x:dxf>
  </dxfs>
  <richProperties>
    <rPr n="IsTitleField" t="b"/>
  </richProperties>
  <richStyles>
    <rSty>
      <rpv i="0">1</rpv>
    </rSty>
    <rSty dxfid="0"/>
    <rSty dxfid="2"/>
    <rSty dxfid="8"/>
    <rSty dxfid="3"/>
    <rSty dxfid="5"/>
    <rSty dxfid="11"/>
    <rSty dxfid="6"/>
    <rSty dxfid="7"/>
    <rSty dxfid="1"/>
    <rSty dxfid="4"/>
    <rSty dxfid="9"/>
    <rSty dxfid="10"/>
    <rSty dxfid="12"/>
    <rSty dxfid="13"/>
    <rSty dxfid="14"/>
    <rSty dxfid="15"/>
    <rSty dxfid="16"/>
    <rSty dxfid="17"/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6D504-FFD2-4860-90DB-0099728E6E02}" name="Wage130" displayName="Wage130" ref="A1:K24" tableType="queryTable" totalsRowShown="0">
  <autoFilter ref="A1:K24" xr:uid="{65C6D504-FFD2-4860-90DB-0099728E6E02}"/>
  <tableColumns count="11">
    <tableColumn id="1" xr3:uid="{254B72BB-079B-480C-964F-938201E7679B}" uniqueName="1" name="Year" queryTableFieldId="1"/>
    <tableColumn id="7" xr3:uid="{BB8A69AF-D249-402D-AB51-7B01CD231696}" uniqueName="7" name="DecDate" queryTableFieldId="7" dataDxfId="38">
      <calculatedColumnFormula>Wage130[[#This Row],[Year]]+0.5</calculatedColumnFormula>
    </tableColumn>
    <tableColumn id="2" xr3:uid="{9466B298-DDD3-4424-9A75-D90DDF468C85}" uniqueName="2" name="Males" queryTableFieldId="2"/>
    <tableColumn id="3" xr3:uid="{ABDFEA0B-BD13-4B69-9440-DACD4E53B37B}" uniqueName="3" name="Females" queryTableFieldId="3"/>
    <tableColumn id="4" xr3:uid="{505CA95D-7BC2-4CD4-B0A3-6D244596E188}" uniqueName="4" name="CPI" queryTableFieldId="4"/>
    <tableColumn id="5" xr3:uid="{53353A92-E0DB-45BC-94E8-EBC1EAC47D10}" uniqueName="5" name="Males(Real)" queryTableFieldId="5" dataDxfId="37">
      <calculatedColumnFormula>Wage130[[#This Row],[Males]]/(Wage130[[#This Row],[CPI]]/100)</calculatedColumnFormula>
    </tableColumn>
    <tableColumn id="6" xr3:uid="{9FED562B-07A2-40C7-9DF4-2A7BBEAC0F35}" uniqueName="6" name="Females(Real)" queryTableFieldId="6" dataDxfId="36">
      <calculatedColumnFormula>Wage130[[#This Row],[Females]]/(Wage130[[#This Row],[CPI]]/100)</calculatedColumnFormula>
    </tableColumn>
    <tableColumn id="8" xr3:uid="{6F4F898D-0D87-4554-880B-6C9905431083}" uniqueName="8" name="Trend(Real Male)" queryTableFieldId="8" dataDxfId="35">
      <calculatedColumnFormula>$N$17+$N$18*Wage130[[#This Row],[DecDate]]</calculatedColumnFormula>
    </tableColumn>
    <tableColumn id="9" xr3:uid="{976B1B58-EEFE-4967-8F50-34EA3EC16D3E}" uniqueName="9" name="Trend(Real Female)" queryTableFieldId="9" dataDxfId="34">
      <calculatedColumnFormula>$N$36+$N$37*Wage130[[#This Row],[DecDate]]</calculatedColumnFormula>
    </tableColumn>
    <tableColumn id="10" xr3:uid="{DC73CBA3-A359-44D9-A8C2-872A501C1F8D}" uniqueName="10" name="Detrend(Male)" queryTableFieldId="10" dataDxfId="33">
      <calculatedColumnFormula>Wage130[[#This Row],[Males(Real)]]-Wage130[[#This Row],[Trend(Real Male)]]</calculatedColumnFormula>
    </tableColumn>
    <tableColumn id="11" xr3:uid="{9DB60A11-BA4E-4F8E-8AA2-F87D6C92FEC7}" uniqueName="11" name="Detrend(Female)" queryTableFieldId="11" dataDxfId="32">
      <calculatedColumnFormula>Wage130[[#This Row],[Females(Real)]]-Wage130[[#This Row],[Trend(Real Female)]]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FC5D94-0152-4BAF-A61C-D2988C63A990}" name="realgdp" displayName="realgdp" ref="A1:EW49" tableType="queryTable" totalsRowShown="0">
  <autoFilter ref="A1:EW49" xr:uid="{70FC5D94-0152-4BAF-A61C-D2988C63A990}"/>
  <tableColumns count="153">
    <tableColumn id="1" xr3:uid="{B87DF118-083A-47FE-AB11-CE8C778E1436}" uniqueName="1" name="Year" queryTableFieldId="1"/>
    <tableColumn id="2" xr3:uid="{194159F7-CE46-412C-B83B-54C92CAF4C0E}" uniqueName="2" name="ABW" queryTableFieldId="2"/>
    <tableColumn id="3" xr3:uid="{C05DFCD5-EB82-41F8-90AF-EF4E0821F7D6}" uniqueName="3" name="AGO" queryTableFieldId="3"/>
    <tableColumn id="4" xr3:uid="{812556EC-B1B4-4A0E-9530-51E2E100D099}" uniqueName="4" name="AIA" queryTableFieldId="4"/>
    <tableColumn id="5" xr3:uid="{370BEBDB-3832-4BAC-BF62-11C8C6449E33}" uniqueName="5" name="ALB" queryTableFieldId="5"/>
    <tableColumn id="6" xr3:uid="{3A8060B8-060F-4919-AD55-CEF627A7594B}" uniqueName="6" name="ARG" queryTableFieldId="6"/>
    <tableColumn id="7" xr3:uid="{8812269C-7E29-4A38-A247-663D5A80C8AB}" uniqueName="7" name="ATG" queryTableFieldId="7"/>
    <tableColumn id="8" xr3:uid="{229B02EF-85BF-466A-9502-9F422F6985EA}" uniqueName="8" name="AUS" queryTableFieldId="8"/>
    <tableColumn id="9" xr3:uid="{9289A66C-A133-494B-AAE0-10D9FC2EA7AD}" uniqueName="9" name="AUT" queryTableFieldId="9"/>
    <tableColumn id="10" xr3:uid="{F8745FB1-93C1-40DE-BEDB-7B155A90D4A0}" uniqueName="10" name="BDI" queryTableFieldId="10"/>
    <tableColumn id="11" xr3:uid="{5F92D757-0FD2-4D59-B046-891C089D8EAD}" uniqueName="11" name="BEL" queryTableFieldId="11"/>
    <tableColumn id="12" xr3:uid="{6A3458D6-7AB9-41E7-B90E-1B7BA348FB2E}" uniqueName="12" name="BEN" queryTableFieldId="12"/>
    <tableColumn id="13" xr3:uid="{0DFC1707-5DEE-4EA8-BD86-EF4ABF4ED9B7}" uniqueName="13" name="BFA" queryTableFieldId="13"/>
    <tableColumn id="14" xr3:uid="{BE5A0AEC-707E-4159-9268-ABC6003E6D27}" uniqueName="14" name="BGD" queryTableFieldId="14"/>
    <tableColumn id="15" xr3:uid="{4D803866-51A2-485C-85A4-062928EE8C6F}" uniqueName="15" name="BGR" queryTableFieldId="15"/>
    <tableColumn id="16" xr3:uid="{30C214F2-6321-4536-A406-FA5103DFBBC2}" uniqueName="16" name="BHR" queryTableFieldId="16"/>
    <tableColumn id="17" xr3:uid="{19734034-96F6-4765-A3BA-C9E4AE7EB787}" uniqueName="17" name="BHS" queryTableFieldId="17" dataDxfId="31"/>
    <tableColumn id="18" xr3:uid="{F00C59F5-F830-4753-94C8-404D8014A645}" uniqueName="18" name="BLZ" queryTableFieldId="18"/>
    <tableColumn id="19" xr3:uid="{2014D36B-4766-4581-95C4-578D2C7D986D}" uniqueName="19" name="BMU" queryTableFieldId="19"/>
    <tableColumn id="20" xr3:uid="{D13EE8E7-3362-4243-A273-676991B6BF3D}" uniqueName="20" name="BOL" queryTableFieldId="20"/>
    <tableColumn id="21" xr3:uid="{1934F0BA-D3B3-44F9-9B7E-8A8D4E6B5B71}" uniqueName="21" name="BRA" queryTableFieldId="21"/>
    <tableColumn id="22" xr3:uid="{F9291A19-F7DD-4655-AD09-FF3ADAD55201}" uniqueName="22" name="BRB" queryTableFieldId="22"/>
    <tableColumn id="23" xr3:uid="{0889AF38-C6B9-4666-B114-91BE657C2B4D}" uniqueName="23" name="BTN" queryTableFieldId="23"/>
    <tableColumn id="24" xr3:uid="{D0E3EEE4-25CA-4369-B212-E1F2D88ED6EB}" uniqueName="24" name="BWA" queryTableFieldId="24"/>
    <tableColumn id="25" xr3:uid="{248E18B5-A4F3-4681-AC3E-3D5D5BC40EF1}" uniqueName="25" name="CAF" queryTableFieldId="25"/>
    <tableColumn id="26" xr3:uid="{0FFEB450-3E5B-446E-A76B-E6E342A8DFEA}" uniqueName="26" name="CAN" queryTableFieldId="26"/>
    <tableColumn id="27" xr3:uid="{E7249EAD-BDCA-4AC3-A65F-CDB5BC7623D9}" uniqueName="27" name="CHE" queryTableFieldId="27"/>
    <tableColumn id="28" xr3:uid="{1543EA47-7620-451E-B0D8-6CDC04FFDDB6}" uniqueName="28" name="CHL" queryTableFieldId="28"/>
    <tableColumn id="29" xr3:uid="{83B08F78-0D04-4F29-89CE-39420486E4EA}" uniqueName="29" name="CHN" queryTableFieldId="29"/>
    <tableColumn id="30" xr3:uid="{3BD8E369-F248-4A1C-8EF5-26AA75D9D798}" uniqueName="30" name="CIV" queryTableFieldId="30"/>
    <tableColumn id="31" xr3:uid="{68CBB285-090D-4CF6-98F6-EC7BEF525FA1}" uniqueName="31" name="CMR" queryTableFieldId="31"/>
    <tableColumn id="32" xr3:uid="{D1EB5C9E-DE38-4203-8567-B393DB3A3787}" uniqueName="32" name="COD" queryTableFieldId="32"/>
    <tableColumn id="33" xr3:uid="{C39117DB-B192-4138-BD33-6F8789252AB7}" uniqueName="33" name="COG" queryTableFieldId="33"/>
    <tableColumn id="34" xr3:uid="{8A3CC341-6A4E-4A41-A879-3BA408F81DC1}" uniqueName="34" name="COL" queryTableFieldId="34"/>
    <tableColumn id="35" xr3:uid="{8DAC1A10-4BA6-40B3-9A38-C65A44F948F0}" uniqueName="35" name="COM" queryTableFieldId="35"/>
    <tableColumn id="36" xr3:uid="{F9AADDBC-7CD1-4AC3-B63F-3093C2EA5FF6}" uniqueName="36" name="CPV" queryTableFieldId="36"/>
    <tableColumn id="37" xr3:uid="{1918994C-F588-45F1-B604-C7353399BD8D}" uniqueName="37" name="CRI" queryTableFieldId="37"/>
    <tableColumn id="38" xr3:uid="{BC132298-74D4-41C4-857E-53AD24828AC4}" uniqueName="38" name="CYM" queryTableFieldId="38" dataDxfId="30"/>
    <tableColumn id="39" xr3:uid="{1BA89A3A-E395-4C45-AFA7-7C8CDF9F99CC}" uniqueName="39" name="CYP" queryTableFieldId="39"/>
    <tableColumn id="40" xr3:uid="{CEB39586-3A7B-4382-95C4-0CB0D4D1563A}" uniqueName="40" name="DEU" queryTableFieldId="40"/>
    <tableColumn id="41" xr3:uid="{90D6E4C9-D9D4-425B-8984-A206F89EB198}" uniqueName="41" name="DJI" queryTableFieldId="41"/>
    <tableColumn id="42" xr3:uid="{4B3094DE-A5C9-4DA8-B0B8-CFFE9B7C79DD}" uniqueName="42" name="DMA" queryTableFieldId="42"/>
    <tableColumn id="43" xr3:uid="{7C8822F9-E335-4DA5-93DA-0A7251F10199}" uniqueName="43" name="DNK" queryTableFieldId="43"/>
    <tableColumn id="44" xr3:uid="{4A72C2C1-539F-4A81-AFAB-5D2AB620EC47}" uniqueName="44" name="DOM" queryTableFieldId="44"/>
    <tableColumn id="45" xr3:uid="{3AA6803A-6495-4A30-8B8A-3F3089D00C15}" uniqueName="45" name="DZA" queryTableFieldId="45"/>
    <tableColumn id="46" xr3:uid="{EC957D5E-4DAB-4AA6-BF53-482822D60DD8}" uniqueName="46" name="ECU" queryTableFieldId="46"/>
    <tableColumn id="47" xr3:uid="{7A45F629-36BE-4338-862B-E8401C9B958D}" uniqueName="47" name="EGY" queryTableFieldId="47" dataDxfId="29"/>
    <tableColumn id="48" xr3:uid="{65DDEC19-854C-4CCA-BC15-B61FD922F6C5}" uniqueName="48" name="ESP" queryTableFieldId="48"/>
    <tableColumn id="49" xr3:uid="{5A009F65-78DB-4A41-862F-249914F58C67}" uniqueName="49" name="ETH" queryTableFieldId="49"/>
    <tableColumn id="50" xr3:uid="{AA517511-73A1-4546-B537-DB284FF1D7DA}" uniqueName="50" name="FIN" queryTableFieldId="50"/>
    <tableColumn id="51" xr3:uid="{76EA2684-63B4-4946-ACA6-D87E5B54C465}" uniqueName="51" name="FJI" queryTableFieldId="51"/>
    <tableColumn id="52" xr3:uid="{284DE97D-2D30-4061-BFCE-448F092F277B}" uniqueName="52" name="FRA" queryTableFieldId="52"/>
    <tableColumn id="53" xr3:uid="{D9B17612-C438-408F-A93C-8296808A88DB}" uniqueName="53" name="GAB" queryTableFieldId="53"/>
    <tableColumn id="54" xr3:uid="{7DE6A1AC-1601-46C2-AA02-F403238A9E1D}" uniqueName="54" name="GBR" queryTableFieldId="54"/>
    <tableColumn id="55" xr3:uid="{BDB6CC23-DFCF-4106-965A-8005B097E8E8}" uniqueName="55" name="GHA" queryTableFieldId="55"/>
    <tableColumn id="56" xr3:uid="{8B7BF843-50DE-4631-9A0D-250B49365792}" uniqueName="56" name="GIN" queryTableFieldId="56"/>
    <tableColumn id="57" xr3:uid="{30B96F76-9EDD-4B3F-A585-F15F94671BDD}" uniqueName="57" name="GMB" queryTableFieldId="57"/>
    <tableColumn id="58" xr3:uid="{9AA02B2B-E744-4905-89DA-E9AEA72DF687}" uniqueName="58" name="GNB" queryTableFieldId="58"/>
    <tableColumn id="59" xr3:uid="{36EC9C85-70EF-41E1-9E0F-27C2FCAA0639}" uniqueName="59" name="GNQ" queryTableFieldId="59"/>
    <tableColumn id="60" xr3:uid="{11A1F68E-9429-4836-A8CD-A25A6908DE48}" uniqueName="60" name="GRC" queryTableFieldId="60"/>
    <tableColumn id="61" xr3:uid="{C76B3147-7318-4480-8C4A-C707D1F4650A}" uniqueName="61" name="GRD" queryTableFieldId="61"/>
    <tableColumn id="62" xr3:uid="{A5FC1D48-8F9A-4D75-97A9-D19D247C834E}" uniqueName="62" name="GTM" queryTableFieldId="62"/>
    <tableColumn id="63" xr3:uid="{FA7EAC56-B72F-486F-AB25-4FBCDD61ED61}" uniqueName="63" name="HKG" queryTableFieldId="63"/>
    <tableColumn id="64" xr3:uid="{48413D6D-3100-4967-AFF8-A0D2126AFD2D}" uniqueName="64" name="HND" queryTableFieldId="64"/>
    <tableColumn id="65" xr3:uid="{CBB8B615-430A-4A1C-B682-5D174A09F252}" uniqueName="65" name="HTI" queryTableFieldId="65"/>
    <tableColumn id="66" xr3:uid="{04942777-2495-4DFB-AD52-70F7DDB2F782}" uniqueName="66" name="HUN" queryTableFieldId="66"/>
    <tableColumn id="67" xr3:uid="{EC71FC5A-A516-4D0E-B558-D00EBDECE0D9}" uniqueName="67" name="IDN" queryTableFieldId="67"/>
    <tableColumn id="68" xr3:uid="{AE82B863-1DD3-42D4-B8A9-D8167FE16393}" uniqueName="68" name="IND" queryTableFieldId="68"/>
    <tableColumn id="69" xr3:uid="{CE717F4E-CF64-4C82-858C-3640AB47E78D}" uniqueName="69" name="IRL" queryTableFieldId="69"/>
    <tableColumn id="70" xr3:uid="{CE67BA8A-0B1D-4705-AB7C-DC12F25D3E7A}" uniqueName="70" name="IRN" queryTableFieldId="70"/>
    <tableColumn id="71" xr3:uid="{0CA15CD7-9B65-4279-975B-782BB52048B6}" uniqueName="71" name="IRQ" queryTableFieldId="71"/>
    <tableColumn id="72" xr3:uid="{D73FFBA6-863D-4EC1-A91E-001BD954AF2F}" uniqueName="72" name="ISL" queryTableFieldId="72"/>
    <tableColumn id="73" xr3:uid="{F64FE5AF-91E6-4F9F-B759-4DC87B790903}" uniqueName="73" name="ISR" queryTableFieldId="73"/>
    <tableColumn id="74" xr3:uid="{DB8702E4-0AF2-4648-A134-28B3E93D88D0}" uniqueName="74" name="ITA" queryTableFieldId="74"/>
    <tableColumn id="75" xr3:uid="{3E38F6C5-64A0-4511-8A69-E1BF57FEEABE}" uniqueName="75" name="JAM" queryTableFieldId="75"/>
    <tableColumn id="76" xr3:uid="{FB017B1E-1E59-4DF6-81E2-A998382CEA75}" uniqueName="76" name="JOR" queryTableFieldId="76"/>
    <tableColumn id="77" xr3:uid="{07178346-3B35-4125-AF4C-E467E6786939}" uniqueName="77" name="JPN" queryTableFieldId="77"/>
    <tableColumn id="78" xr3:uid="{A7A6EB86-468A-4417-B75D-C314039868E1}" uniqueName="78" name="KEN" queryTableFieldId="78"/>
    <tableColumn id="79" xr3:uid="{22CAFB4B-A332-4443-ABDD-68B253A12725}" uniqueName="79" name="KHM" queryTableFieldId="79"/>
    <tableColumn id="80" xr3:uid="{0D88FF69-C23D-4B88-B25B-C8B5C76CB97F}" uniqueName="80" name="KNA" queryTableFieldId="80"/>
    <tableColumn id="81" xr3:uid="{FABF53E9-8969-4234-924B-B4112C5DFCA1}" uniqueName="81" name="KOR" queryTableFieldId="81"/>
    <tableColumn id="82" xr3:uid="{DA72A182-9A45-4C0E-9395-DFC1CC874514}" uniqueName="82" name="KWT" queryTableFieldId="82"/>
    <tableColumn id="83" xr3:uid="{BDEE1FEA-D6B0-4B1F-9FD2-2C53CF9A1794}" uniqueName="83" name="LAO" queryTableFieldId="83"/>
    <tableColumn id="84" xr3:uid="{C09466B7-68CC-43F1-93A3-AF3EA6F3C15C}" uniqueName="84" name="LBN" queryTableFieldId="84"/>
    <tableColumn id="85" xr3:uid="{9690F2ED-0F47-468A-991D-6A157FE9F9AB}" uniqueName="85" name="LBR" queryTableFieldId="85"/>
    <tableColumn id="86" xr3:uid="{AF7B7F7C-7B98-45FF-B37D-A89DD5E39226}" uniqueName="86" name="LCA" queryTableFieldId="86"/>
    <tableColumn id="87" xr3:uid="{0B9B9B4B-E1AE-4E3A-862F-F2CF75503AFA}" uniqueName="87" name="LKA" queryTableFieldId="87"/>
    <tableColumn id="88" xr3:uid="{8A3B4FBC-26A2-492D-8247-82C88AE16112}" uniqueName="88" name="LSO" queryTableFieldId="88"/>
    <tableColumn id="89" xr3:uid="{71A3F7C6-0BC3-4415-AF7F-A0F810A70866}" uniqueName="89" name="LUX" queryTableFieldId="89"/>
    <tableColumn id="90" xr3:uid="{3E57BFAB-E5FF-495B-A4AE-D73E6A6C80F0}" uniqueName="90" name="MAR" queryTableFieldId="90"/>
    <tableColumn id="91" xr3:uid="{50AFB703-4912-4C2A-98C6-B66C3BD6E87D}" uniqueName="91" name="MDG" queryTableFieldId="91"/>
    <tableColumn id="92" xr3:uid="{FE317FCF-A524-43AF-A5B2-C74435133EF6}" uniqueName="92" name="MDV" queryTableFieldId="92"/>
    <tableColumn id="93" xr3:uid="{A230066B-7703-441D-968C-028F374397A6}" uniqueName="93" name="MEX" queryTableFieldId="93"/>
    <tableColumn id="94" xr3:uid="{8F3BD4F7-94DA-47F2-B5D5-501BD935CE2B}" uniqueName="94" name="MLI" queryTableFieldId="94"/>
    <tableColumn id="95" xr3:uid="{9872DAC3-D430-4201-931C-DBCD7F314D0A}" uniqueName="95" name="MLT" queryTableFieldId="95"/>
    <tableColumn id="96" xr3:uid="{BAC2B6A6-E3A4-4027-AEDC-27DDFE149510}" uniqueName="96" name="MMR" queryTableFieldId="96"/>
    <tableColumn id="97" xr3:uid="{B8F205D2-B3F0-400C-8A45-D5A7A207605F}" uniqueName="97" name="MNG" queryTableFieldId="97"/>
    <tableColumn id="98" xr3:uid="{D3A0930B-77DB-45AA-B92B-74D564DACFB0}" uniqueName="98" name="MOZ" queryTableFieldId="98"/>
    <tableColumn id="99" xr3:uid="{DF408663-C93F-487A-A024-D8AA178BB545}" uniqueName="99" name="MRT" queryTableFieldId="99"/>
    <tableColumn id="100" xr3:uid="{FFFFDF00-54F1-4F03-888B-530DF2EC0D6E}" uniqueName="100" name="MSR" queryTableFieldId="100"/>
    <tableColumn id="101" xr3:uid="{918C6F9B-B8FB-4D52-B0BC-33C53D9D758D}" uniqueName="101" name="MUS" queryTableFieldId="101"/>
    <tableColumn id="102" xr3:uid="{62D7EE5F-1105-4977-89D7-6774CDC97D8A}" uniqueName="102" name="MWI" queryTableFieldId="102"/>
    <tableColumn id="103" xr3:uid="{0E9ACD79-3DB9-41E5-BCE0-190A60CE1CAA}" uniqueName="103" name="MYS" queryTableFieldId="103"/>
    <tableColumn id="104" xr3:uid="{89C04FC8-5438-4991-AE0C-2511B53C7513}" uniqueName="104" name="NAM" queryTableFieldId="104"/>
    <tableColumn id="105" xr3:uid="{C6FC29DD-D759-4464-BE42-91533EE8B8DC}" uniqueName="105" name="NER" queryTableFieldId="105"/>
    <tableColumn id="106" xr3:uid="{CCCEE0F5-173D-4B27-9931-A716762833DD}" uniqueName="106" name="NGA" queryTableFieldId="106"/>
    <tableColumn id="107" xr3:uid="{9C31261C-D9A7-4862-9A79-ED2E86AB36B5}" uniqueName="107" name="NIC" queryTableFieldId="107"/>
    <tableColumn id="108" xr3:uid="{2D62444F-1D80-47A9-A492-621723B88220}" uniqueName="108" name="NLD" queryTableFieldId="108"/>
    <tableColumn id="109" xr3:uid="{13B6F656-F30B-4A72-A39A-568DAA44D43D}" uniqueName="109" name="NOR" queryTableFieldId="109"/>
    <tableColumn id="110" xr3:uid="{02CC2325-FB9D-4610-B4D2-60B9AF03923B}" uniqueName="110" name="NPL" queryTableFieldId="110"/>
    <tableColumn id="111" xr3:uid="{3674B2E4-23A4-42E2-9826-1993C54B6EA1}" uniqueName="111" name="NZL" queryTableFieldId="111"/>
    <tableColumn id="112" xr3:uid="{FD55F20B-0ADF-43DF-A0A7-21AB82C7B00E}" uniqueName="112" name="OMN" queryTableFieldId="112"/>
    <tableColumn id="113" xr3:uid="{500E43CA-C25F-4118-80DC-30B0BD41C345}" uniqueName="113" name="PAK" queryTableFieldId="113"/>
    <tableColumn id="114" xr3:uid="{A372C953-B17B-466B-937C-C6ED68C482B0}" uniqueName="114" name="PAN" queryTableFieldId="114"/>
    <tableColumn id="115" xr3:uid="{EABD2AD3-1D47-4835-94CD-8E44C8C4226E}" uniqueName="115" name="PER" queryTableFieldId="115"/>
    <tableColumn id="116" xr3:uid="{28AC179D-6855-4B32-927B-55239D9DB490}" uniqueName="116" name="PHL" queryTableFieldId="116"/>
    <tableColumn id="117" xr3:uid="{0ED717B6-B5F0-44AF-A85F-ABA262D29873}" uniqueName="117" name="POL" queryTableFieldId="117"/>
    <tableColumn id="118" xr3:uid="{A911F008-96D3-4DAE-B780-1E61D764BA4A}" uniqueName="118" name="PRT" queryTableFieldId="118"/>
    <tableColumn id="119" xr3:uid="{D818B094-1588-4623-8F41-0ECAED896E3D}" uniqueName="119" name="PRY" queryTableFieldId="119"/>
    <tableColumn id="120" xr3:uid="{F486ADA2-6E36-4F8E-B048-93198DEF5D1D}" uniqueName="120" name="PSE" queryTableFieldId="120"/>
    <tableColumn id="121" xr3:uid="{D8BD6B25-F08D-4B2D-9618-CC2014635FBA}" uniqueName="121" name="ROU" queryTableFieldId="121"/>
    <tableColumn id="122" xr3:uid="{7394866C-70BE-403B-9CF3-5E8C2CD04A5A}" uniqueName="122" name="RWA" queryTableFieldId="122"/>
    <tableColumn id="123" xr3:uid="{1ABBCFAA-9595-41C5-AE5B-02BA14CB73BD}" uniqueName="123" name="SAU" queryTableFieldId="123" dataDxfId="28"/>
    <tableColumn id="124" xr3:uid="{3C197544-F0DC-4E2F-B38C-77D911DA3150}" uniqueName="124" name="SDN" queryTableFieldId="124"/>
    <tableColumn id="125" xr3:uid="{F545B695-EEA9-46BE-8556-3A6AC66E88DB}" uniqueName="125" name="SEN" queryTableFieldId="125"/>
    <tableColumn id="126" xr3:uid="{261E424F-6762-4938-828D-EFD016CBFF27}" uniqueName="126" name="SGP" queryTableFieldId="126"/>
    <tableColumn id="127" xr3:uid="{B0E3BC7C-301E-43CD-B329-4332E7917362}" uniqueName="127" name="SLE" queryTableFieldId="127"/>
    <tableColumn id="128" xr3:uid="{476C393B-2DAA-4A9D-911C-718AD713D850}" uniqueName="128" name="SLV" queryTableFieldId="128"/>
    <tableColumn id="129" xr3:uid="{8AE4FF00-B2DE-41CC-8780-1765E484944B}" uniqueName="129" name="STP" queryTableFieldId="129"/>
    <tableColumn id="130" xr3:uid="{76465338-1CE1-4F9D-8C5B-DF58099E8A8E}" uniqueName="130" name="SUR" queryTableFieldId="130"/>
    <tableColumn id="131" xr3:uid="{043D1E07-3291-448C-BA67-A8A8D9D4D5A5}" uniqueName="131" name="SWE" queryTableFieldId="131"/>
    <tableColumn id="132" xr3:uid="{C8FB9895-6C89-4D14-A49C-E61FA542D445}" uniqueName="132" name="SWZ" queryTableFieldId="132"/>
    <tableColumn id="133" xr3:uid="{B1356779-0B46-44AC-B4C6-C5D1D6CE9BFD}" uniqueName="133" name="SYC" queryTableFieldId="133"/>
    <tableColumn id="134" xr3:uid="{8E373611-5BA7-4CD3-B33A-8EB90C85CDAF}" uniqueName="134" name="SYR" queryTableFieldId="134"/>
    <tableColumn id="135" xr3:uid="{E4BA51F0-0907-4A21-A312-4017D207736B}" uniqueName="135" name="TCA" queryTableFieldId="135"/>
    <tableColumn id="136" xr3:uid="{F7B9E827-0CD4-4AE0-BB2C-2CB3CED370D5}" uniqueName="136" name="TCD" queryTableFieldId="136"/>
    <tableColumn id="137" xr3:uid="{00BA14EC-02C4-40CF-8058-5A7DE0D1D96E}" uniqueName="137" name="TGO" queryTableFieldId="137"/>
    <tableColumn id="138" xr3:uid="{324E787C-2624-44A6-A62F-ECD17DDB05B5}" uniqueName="138" name="THA" queryTableFieldId="138"/>
    <tableColumn id="139" xr3:uid="{D3DBF6D3-E3EE-402B-9250-3903128149CE}" uniqueName="139" name="TTO" queryTableFieldId="139"/>
    <tableColumn id="140" xr3:uid="{ACAE1342-6A34-44BB-A338-067D6471AAB7}" uniqueName="140" name="TUN" queryTableFieldId="140"/>
    <tableColumn id="141" xr3:uid="{D5B4FDA5-96CE-4696-AE76-3E813A5BC6D6}" uniqueName="141" name="TUR" queryTableFieldId="141"/>
    <tableColumn id="142" xr3:uid="{01EE2FD1-9972-4B6E-853A-7CAFF4034216}" uniqueName="142" name="TWN" queryTableFieldId="142"/>
    <tableColumn id="143" xr3:uid="{A4BD6E55-68D6-4ED7-B59D-B5CE8376F811}" uniqueName="143" name="TZA" queryTableFieldId="143"/>
    <tableColumn id="144" xr3:uid="{4D1A879D-EA1E-44E2-934A-91B9F5E07640}" uniqueName="144" name="UGA" queryTableFieldId="144"/>
    <tableColumn id="145" xr3:uid="{82EF6EC7-89E5-49E8-9683-1708D8591F74}" uniqueName="145" name="URY" queryTableFieldId="145"/>
    <tableColumn id="146" xr3:uid="{F233F0E2-3599-4C0F-AAE0-396D540C0BB6}" uniqueName="146" name="USA" queryTableFieldId="146"/>
    <tableColumn id="147" xr3:uid="{68FBA231-D699-419A-8F7A-F74B53510A19}" uniqueName="147" name="VCT" queryTableFieldId="147"/>
    <tableColumn id="148" xr3:uid="{A8AE6772-6E56-466F-941E-C8391C842124}" uniqueName="148" name="VEN" queryTableFieldId="148"/>
    <tableColumn id="149" xr3:uid="{60F57043-FD4C-42BD-A614-B9E92EF7D8BB}" uniqueName="149" name="VGB" queryTableFieldId="149"/>
    <tableColumn id="150" xr3:uid="{B31A9A80-D0CF-477D-953E-C292FD12CB84}" uniqueName="150" name="VNM" queryTableFieldId="150"/>
    <tableColumn id="151" xr3:uid="{CF4EB699-5A8E-4E00-BA5A-B84BC274DDCC}" uniqueName="151" name="ZAF" queryTableFieldId="151"/>
    <tableColumn id="152" xr3:uid="{8AD40235-58EE-4844-A434-494BB2E0FE0B}" uniqueName="152" name="ZMB" queryTableFieldId="152"/>
    <tableColumn id="153" xr3:uid="{4928B6B6-A3DF-4B8D-A0D9-D6FC8AD71A34}" uniqueName="153" name="ZWE" queryTableFieldId="15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CDFABE-F4C1-4BBD-80F0-97F7F621B285}" name="Table4" displayName="Table4" ref="A1:W49" totalsRowShown="0" headerRowDxfId="27" dataDxfId="26">
  <autoFilter ref="A1:W49" xr:uid="{E3CDFABE-F4C1-4BBD-80F0-97F7F621B285}"/>
  <tableColumns count="23">
    <tableColumn id="1" xr3:uid="{1482C0EF-8DFD-4305-AC3F-20FD0E97D883}" name="Year"/>
    <tableColumn id="10" xr3:uid="{9A3595C0-6E7D-4E98-936E-4E3E14930D1B}" name="DecDate" dataDxfId="25">
      <calculatedColumnFormula>Table4[[#This Row],[Year]]+0.5</calculatedColumnFormula>
    </tableColumn>
    <tableColumn id="11" xr3:uid="{B7911F6E-4CF1-4C7D-BB5E-E664144B1958}" name="DecDate^2" dataDxfId="24">
      <calculatedColumnFormula>Table4[[#This Row],[DecDate]]*Table4[[#This Row],[DecDate]]</calculatedColumnFormula>
    </tableColumn>
    <tableColumn id="2" xr3:uid="{0243D525-5D1C-4237-9869-307FDB585435}" name="BHS" dataDxfId="23"/>
    <tableColumn id="3" xr3:uid="{B972FD7A-0265-4373-B1EE-9833ECB3AFA4}" name="CYM" dataDxfId="22"/>
    <tableColumn id="4" xr3:uid="{3767F8DF-7D8D-483A-8B51-5156957BB104}" name="EGY" dataDxfId="21"/>
    <tableColumn id="5" xr3:uid="{15257B75-5B84-4C71-B175-2C66554C8B33}" name="SAU" dataDxfId="20"/>
    <tableColumn id="6" xr3:uid="{5BB21333-855A-437F-AF5B-3AD88822C7F5}" name="LOG(Bahamas)" dataDxfId="19">
      <calculatedColumnFormula>LN(Table4[[#This Row],[BHS]])</calculatedColumnFormula>
    </tableColumn>
    <tableColumn id="20" xr3:uid="{3BFFD853-7574-43CF-A440-3BF161B4CC7E}" name="GR(Bahamas)" dataDxfId="18">
      <calculatedColumnFormula>Table4[[#This Row],[LOG(Bahamas)]]-H1</calculatedColumnFormula>
    </tableColumn>
    <tableColumn id="7" xr3:uid="{151FA3B8-0686-4A7F-AA93-6BACCC37FA5D}" name="LOG(Cayman Islands)" dataDxfId="17">
      <calculatedColumnFormula>LN(Table4[[#This Row],[CYM]])</calculatedColumnFormula>
    </tableColumn>
    <tableColumn id="21" xr3:uid="{281625E2-1613-4D58-ABA3-2D4585394272}" name="GR(Cayman Island)" dataDxfId="16">
      <calculatedColumnFormula>Table4[[#This Row],[LOG(Cayman Islands)]]-J1</calculatedColumnFormula>
    </tableColumn>
    <tableColumn id="8" xr3:uid="{9D1D0E80-AB38-42F7-AE30-0284971487A1}" name="LOG(Egypt)" dataDxfId="15">
      <calculatedColumnFormula>LN(Table4[[#This Row],[EGY]])</calculatedColumnFormula>
    </tableColumn>
    <tableColumn id="22" xr3:uid="{72FA9C11-7C22-47E5-AEB6-140A747737AF}" name="GR(Egypt)" dataDxfId="14">
      <calculatedColumnFormula>Table4[[#This Row],[LOG(Egypt)]]-L1</calculatedColumnFormula>
    </tableColumn>
    <tableColumn id="9" xr3:uid="{366569F5-96F2-4BF1-AAA1-B4633712DEE1}" name="LOG(Saudi Arabia)" dataDxfId="13">
      <calculatedColumnFormula>LN(Table4[[#This Row],[SAU]])</calculatedColumnFormula>
    </tableColumn>
    <tableColumn id="23" xr3:uid="{F44B4B7A-FDAF-4DC0-80B1-AC8C4555A1B2}" name="GR(Saudi Arabia)" dataDxfId="12">
      <calculatedColumnFormula>Table4[[#This Row],[LOG(Saudi Arabia)]]-N1</calculatedColumnFormula>
    </tableColumn>
    <tableColumn id="12" xr3:uid="{3F5185AD-0F19-43BC-8E06-77D62807D715}" name="Trend(Bahamas)" dataDxfId="11">
      <calculatedColumnFormula>$AC$17+$AC$18*Table4[[#This Row],[DecDate]]+$AC$19*Table4[[#This Row],[DecDate^2]]</calculatedColumnFormula>
    </tableColumn>
    <tableColumn id="13" xr3:uid="{4AF52FD1-ADF4-411F-8C5E-1538BBC9237B}" name="Trend(Cayman Island)" dataDxfId="10">
      <calculatedColumnFormula>$AC$37+$AC$38*Table4[[#This Row],[DecDate]]+$AC$39*Table4[[#This Row],[DecDate^2]]</calculatedColumnFormula>
    </tableColumn>
    <tableColumn id="14" xr3:uid="{A1EDB077-F915-495A-9FA3-4EE0BDC6D645}" name="Trend(Egypt)" dataDxfId="9">
      <calculatedColumnFormula>$W$57+$W$58*Table4[[#This Row],[DecDate]]+$W$59*Table4[[#This Row],[DecDate^2]]</calculatedColumnFormula>
    </tableColumn>
    <tableColumn id="15" xr3:uid="{844FEA6B-E4C1-4281-9FB3-37A5F58FFED2}" name="Trend(Saudi Arabia)" dataDxfId="8">
      <calculatedColumnFormula>$W$77+$W$78*Table4[[#This Row],[DecDate]]+$W$79*Table4[[#This Row],[DecDate^2]]</calculatedColumnFormula>
    </tableColumn>
    <tableColumn id="16" xr3:uid="{96CA2BC5-04DF-4A0C-9212-395466F288D0}" name="Cycle(Bahamas)" dataDxfId="7">
      <calculatedColumnFormula>Table4[[#This Row],[LOG(Bahamas)]]-Table4[[#This Row],[Trend(Bahamas)]]</calculatedColumnFormula>
    </tableColumn>
    <tableColumn id="17" xr3:uid="{E9F1144A-275E-4EE7-A668-CCE128E0D341}" name="Cycle(Cayman Island)" dataDxfId="6">
      <calculatedColumnFormula>Table4[[#This Row],[LOG(Cayman Islands)]]-Table4[[#This Row],[Trend(Cayman Island)]]</calculatedColumnFormula>
    </tableColumn>
    <tableColumn id="18" xr3:uid="{FE6BE301-EE5C-4DD0-A01A-ECA1B4B1CEE5}" name="Cycle(Egypt)" dataDxfId="5">
      <calculatedColumnFormula>Table4[[#This Row],[LOG(Egypt)]]-Table4[[#This Row],[Trend(Egypt)]]</calculatedColumnFormula>
    </tableColumn>
    <tableColumn id="19" xr3:uid="{FE779493-817B-4A35-B10A-92BA400527E7}" name="Cycle(Saudi Arabia)" dataDxfId="4">
      <calculatedColumnFormula>Table4[[#This Row],[LOG(Saudi Arabia)]]-Table4[[#This Row],[Trend(Saudi Arabia)]]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2051CE-CE6A-4A69-9959-CDC317D2845F}" name="assigned_countries" displayName="assigned_countries" ref="A1:G153" tableType="queryTable" totalsRowShown="0">
  <autoFilter ref="A1:G153" xr:uid="{1E2051CE-CE6A-4A69-9959-CDC317D2845F}"/>
  <tableColumns count="7">
    <tableColumn id="1" xr3:uid="{3EE0D34E-F84F-49C4-B455-B7B8235F1493}" uniqueName="1" name="Assigned number" queryTableFieldId="1"/>
    <tableColumn id="2" xr3:uid="{C43BF66B-862B-4F8E-B96E-EC4C7B442A89}" uniqueName="2" name="Country 1" queryTableFieldId="2" dataDxfId="3"/>
    <tableColumn id="3" xr3:uid="{25AA2A71-A595-4CF4-B5AF-478CF31F2110}" uniqueName="3" name="Country 2" queryTableFieldId="3" dataDxfId="2"/>
    <tableColumn id="4" xr3:uid="{8AA3CB96-2C25-4619-8EF6-4293E685FCD3}" uniqueName="4" name="Country 3" queryTableFieldId="4" dataDxfId="1"/>
    <tableColumn id="5" xr3:uid="{513D5018-F936-497F-9E3A-237D0D42F85F}" uniqueName="5" name="Country 4" queryTableFieldId="5" dataDxfId="0"/>
    <tableColumn id="6" xr3:uid="{96CD4A19-BB77-45A6-81F1-B2378B665A64}" uniqueName="6" name="Year 1" queryTableFieldId="6"/>
    <tableColumn id="7" xr3:uid="{7B4DA9F3-8052-4C47-A345-BC11D8C13E23}" uniqueName="7" name="Year 2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199A-2336-49E6-987E-D033E4255CF6}">
  <dimension ref="A1:U37"/>
  <sheetViews>
    <sheetView tabSelected="1" zoomScaleNormal="100" workbookViewId="0">
      <selection activeCell="L13" sqref="L13"/>
    </sheetView>
  </sheetViews>
  <sheetFormatPr defaultRowHeight="14.5" x14ac:dyDescent="0.35"/>
  <cols>
    <col min="1" max="1" width="6.81640625" bestFit="1" customWidth="1"/>
    <col min="2" max="2" width="11.26953125" customWidth="1"/>
    <col min="3" max="3" width="9.90625" bestFit="1" customWidth="1"/>
    <col min="4" max="4" width="10" customWidth="1"/>
    <col min="5" max="5" width="13.453125" customWidth="1"/>
    <col min="6" max="6" width="14.453125" customWidth="1"/>
    <col min="7" max="7" width="14.7265625" customWidth="1"/>
    <col min="8" max="8" width="17.54296875" customWidth="1"/>
    <col min="9" max="9" width="20.26953125" customWidth="1"/>
    <col min="10" max="10" width="15.1796875" customWidth="1"/>
    <col min="11" max="11" width="17.81640625" customWidth="1"/>
  </cols>
  <sheetData>
    <row r="1" spans="1:21" x14ac:dyDescent="0.3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32</v>
      </c>
      <c r="I1" t="s">
        <v>33</v>
      </c>
      <c r="J1" t="s">
        <v>34</v>
      </c>
      <c r="K1" t="s">
        <v>35</v>
      </c>
      <c r="M1" t="s">
        <v>7</v>
      </c>
    </row>
    <row r="2" spans="1:21" ht="15" thickBot="1" x14ac:dyDescent="0.4">
      <c r="A2">
        <v>1997</v>
      </c>
      <c r="B2">
        <f>Wage130[[#This Row],[Year]]+0.5</f>
        <v>1997.5</v>
      </c>
      <c r="C2">
        <v>13.1</v>
      </c>
      <c r="D2">
        <v>11.03</v>
      </c>
      <c r="E2">
        <v>88.1</v>
      </c>
      <c r="F2">
        <f>Wage130[[#This Row],[Males]]/(Wage130[[#This Row],[CPI]]/100)</f>
        <v>14.869466515323497</v>
      </c>
      <c r="G2">
        <f>Wage130[[#This Row],[Females]]/(Wage130[[#This Row],[CPI]]/100)</f>
        <v>12.519863791146426</v>
      </c>
      <c r="H2">
        <f>$N$17+$N$18*Wage130[[#This Row],[DecDate]]</f>
        <v>13.999000376155323</v>
      </c>
      <c r="I2" s="5">
        <f>$N$36+$N$37*Wage130[[#This Row],[DecDate]]</f>
        <v>12.034706066876424</v>
      </c>
      <c r="J2" s="5">
        <f>Wage130[[#This Row],[Males(Real)]]-Wage130[[#This Row],[Trend(Real Male)]]</f>
        <v>0.87046613916817428</v>
      </c>
      <c r="K2" s="5">
        <f>Wage130[[#This Row],[Females(Real)]]-Wage130[[#This Row],[Trend(Real Female)]]</f>
        <v>0.48515772427000137</v>
      </c>
    </row>
    <row r="3" spans="1:21" x14ac:dyDescent="0.35">
      <c r="A3">
        <v>1998</v>
      </c>
      <c r="B3">
        <f>Wage130[[#This Row],[Year]]+0.5</f>
        <v>1998.5</v>
      </c>
      <c r="C3">
        <v>12.83</v>
      </c>
      <c r="D3">
        <v>11.46</v>
      </c>
      <c r="E3">
        <v>89.2</v>
      </c>
      <c r="F3">
        <f>Wage130[[#This Row],[Males]]/(Wage130[[#This Row],[CPI]]/100)</f>
        <v>14.383408071748878</v>
      </c>
      <c r="G3">
        <f>Wage130[[#This Row],[Females]]/(Wage130[[#This Row],[CPI]]/100)</f>
        <v>12.847533632286996</v>
      </c>
      <c r="H3">
        <f>$N$17+$N$18*Wage130[[#This Row],[DecDate]]</f>
        <v>14.26259928026343</v>
      </c>
      <c r="I3" s="5">
        <f>$N$36+$N$37*Wage130[[#This Row],[DecDate]]</f>
        <v>12.254936785317398</v>
      </c>
      <c r="J3" s="5">
        <f>Wage130[[#This Row],[Males(Real)]]-Wage130[[#This Row],[Trend(Real Male)]]</f>
        <v>0.1208087914854481</v>
      </c>
      <c r="K3" s="5">
        <f>Wage130[[#This Row],[Females(Real)]]-Wage130[[#This Row],[Trend(Real Female)]]</f>
        <v>0.5925968469695988</v>
      </c>
      <c r="M3" s="4" t="s">
        <v>8</v>
      </c>
      <c r="N3" s="4"/>
    </row>
    <row r="4" spans="1:21" x14ac:dyDescent="0.35">
      <c r="A4">
        <v>1999</v>
      </c>
      <c r="B4">
        <f>Wage130[[#This Row],[Year]]+0.5</f>
        <v>1999.5</v>
      </c>
      <c r="C4">
        <v>13.56</v>
      </c>
      <c r="D4">
        <v>11.66</v>
      </c>
      <c r="E4">
        <v>91.4</v>
      </c>
      <c r="F4">
        <f>Wage130[[#This Row],[Males]]/(Wage130[[#This Row],[CPI]]/100)</f>
        <v>14.835886214442013</v>
      </c>
      <c r="G4">
        <f>Wage130[[#This Row],[Females]]/(Wage130[[#This Row],[CPI]]/100)</f>
        <v>12.757111597374179</v>
      </c>
      <c r="H4">
        <f>$N$17+$N$18*Wage130[[#This Row],[DecDate]]</f>
        <v>14.526198184371538</v>
      </c>
      <c r="I4" s="5">
        <f>$N$36+$N$37*Wage130[[#This Row],[DecDate]]</f>
        <v>12.475167503758314</v>
      </c>
      <c r="J4" s="5">
        <f>Wage130[[#This Row],[Males(Real)]]-Wage130[[#This Row],[Trend(Real Male)]]</f>
        <v>0.30968803007047541</v>
      </c>
      <c r="K4" s="5">
        <f>Wage130[[#This Row],[Females(Real)]]-Wage130[[#This Row],[Trend(Real Female)]]</f>
        <v>0.28194409361586459</v>
      </c>
      <c r="M4" s="1" t="s">
        <v>9</v>
      </c>
      <c r="N4" s="1">
        <v>0.91408324073570435</v>
      </c>
    </row>
    <row r="5" spans="1:21" x14ac:dyDescent="0.35">
      <c r="A5">
        <v>2000</v>
      </c>
      <c r="B5">
        <f>Wage130[[#This Row],[Year]]+0.5</f>
        <v>2000.5</v>
      </c>
      <c r="C5">
        <v>13.71</v>
      </c>
      <c r="D5">
        <v>12.23</v>
      </c>
      <c r="E5">
        <v>94.5</v>
      </c>
      <c r="F5">
        <f>Wage130[[#This Row],[Males]]/(Wage130[[#This Row],[CPI]]/100)</f>
        <v>14.50793650793651</v>
      </c>
      <c r="G5">
        <f>Wage130[[#This Row],[Females]]/(Wage130[[#This Row],[CPI]]/100)</f>
        <v>12.941798941798943</v>
      </c>
      <c r="H5">
        <f>$N$17+$N$18*Wage130[[#This Row],[DecDate]]</f>
        <v>14.789797088479645</v>
      </c>
      <c r="I5" s="5">
        <f>$N$36+$N$37*Wage130[[#This Row],[DecDate]]</f>
        <v>12.695398222199287</v>
      </c>
      <c r="J5" s="5">
        <f>Wage130[[#This Row],[Males(Real)]]-Wage130[[#This Row],[Trend(Real Male)]]</f>
        <v>-0.28186058054313534</v>
      </c>
      <c r="K5" s="5">
        <f>Wage130[[#This Row],[Females(Real)]]-Wage130[[#This Row],[Trend(Real Female)]]</f>
        <v>0.24640071959965582</v>
      </c>
      <c r="M5" s="1" t="s">
        <v>10</v>
      </c>
      <c r="N5" s="1">
        <v>0.83554817099388756</v>
      </c>
    </row>
    <row r="6" spans="1:21" x14ac:dyDescent="0.35">
      <c r="A6">
        <v>2001</v>
      </c>
      <c r="B6">
        <f>Wage130[[#This Row],[Year]]+0.5</f>
        <v>2001.5</v>
      </c>
      <c r="C6">
        <v>14.79</v>
      </c>
      <c r="D6">
        <v>12.22</v>
      </c>
      <c r="E6">
        <v>96.7</v>
      </c>
      <c r="F6">
        <f>Wage130[[#This Row],[Males]]/(Wage130[[#This Row],[CPI]]/100)</f>
        <v>15.294725956566699</v>
      </c>
      <c r="G6">
        <f>Wage130[[#This Row],[Females]]/(Wage130[[#This Row],[CPI]]/100)</f>
        <v>12.63702171664943</v>
      </c>
      <c r="H6">
        <f>$N$17+$N$18*Wage130[[#This Row],[DecDate]]</f>
        <v>15.053395992587753</v>
      </c>
      <c r="I6" s="5">
        <f>$N$36+$N$37*Wage130[[#This Row],[DecDate]]</f>
        <v>12.915628940640204</v>
      </c>
      <c r="J6" s="5">
        <f>Wage130[[#This Row],[Males(Real)]]-Wage130[[#This Row],[Trend(Real Male)]]</f>
        <v>0.24132996397894679</v>
      </c>
      <c r="K6" s="5">
        <f>Wage130[[#This Row],[Females(Real)]]-Wage130[[#This Row],[Trend(Real Female)]]</f>
        <v>-0.27860722399077353</v>
      </c>
      <c r="M6" s="1" t="s">
        <v>11</v>
      </c>
      <c r="N6" s="1">
        <v>0.827717131517406</v>
      </c>
    </row>
    <row r="7" spans="1:21" x14ac:dyDescent="0.35">
      <c r="A7">
        <v>2002</v>
      </c>
      <c r="B7">
        <f>Wage130[[#This Row],[Year]]+0.5</f>
        <v>2002.5</v>
      </c>
      <c r="C7">
        <v>15.75</v>
      </c>
      <c r="D7">
        <v>12.86</v>
      </c>
      <c r="E7">
        <v>100</v>
      </c>
      <c r="F7">
        <f>Wage130[[#This Row],[Males]]/(Wage130[[#This Row],[CPI]]/100)</f>
        <v>15.75</v>
      </c>
      <c r="G7">
        <f>Wage130[[#This Row],[Females]]/(Wage130[[#This Row],[CPI]]/100)</f>
        <v>12.86</v>
      </c>
      <c r="H7">
        <f>$N$17+$N$18*Wage130[[#This Row],[DecDate]]</f>
        <v>15.31699489669586</v>
      </c>
      <c r="I7" s="5">
        <f>$N$36+$N$37*Wage130[[#This Row],[DecDate]]</f>
        <v>13.13585965908112</v>
      </c>
      <c r="J7" s="5">
        <f>Wage130[[#This Row],[Males(Real)]]-Wage130[[#This Row],[Trend(Real Male)]]</f>
        <v>0.43300510330413999</v>
      </c>
      <c r="K7" s="5">
        <f>Wage130[[#This Row],[Females(Real)]]-Wage130[[#This Row],[Trend(Real Female)]]</f>
        <v>-0.27585965908112087</v>
      </c>
      <c r="M7" s="1" t="s">
        <v>12</v>
      </c>
      <c r="N7" s="1">
        <v>0.81181639309212661</v>
      </c>
    </row>
    <row r="8" spans="1:21" ht="15" thickBot="1" x14ac:dyDescent="0.4">
      <c r="A8">
        <v>2003</v>
      </c>
      <c r="B8">
        <f>Wage130[[#This Row],[Year]]+0.5</f>
        <v>2003.5</v>
      </c>
      <c r="C8">
        <v>16.29</v>
      </c>
      <c r="D8">
        <v>13.26</v>
      </c>
      <c r="E8">
        <v>104.4</v>
      </c>
      <c r="F8">
        <f>Wage130[[#This Row],[Males]]/(Wage130[[#This Row],[CPI]]/100)</f>
        <v>15.603448275862068</v>
      </c>
      <c r="G8">
        <f>Wage130[[#This Row],[Females]]/(Wage130[[#This Row],[CPI]]/100)</f>
        <v>12.701149425287356</v>
      </c>
      <c r="H8">
        <f>$N$17+$N$18*Wage130[[#This Row],[DecDate]]</f>
        <v>15.580593800803967</v>
      </c>
      <c r="I8" s="5">
        <f>$N$36+$N$37*Wage130[[#This Row],[DecDate]]</f>
        <v>13.356090377522094</v>
      </c>
      <c r="J8" s="5">
        <f>Wage130[[#This Row],[Males(Real)]]-Wage130[[#This Row],[Trend(Real Male)]]</f>
        <v>2.2854475058100121E-2</v>
      </c>
      <c r="K8" s="5">
        <f>Wage130[[#This Row],[Females(Real)]]-Wage130[[#This Row],[Trend(Real Female)]]</f>
        <v>-0.65494095223473714</v>
      </c>
      <c r="M8" s="2" t="s">
        <v>13</v>
      </c>
      <c r="N8" s="2">
        <v>23</v>
      </c>
    </row>
    <row r="9" spans="1:21" x14ac:dyDescent="0.35">
      <c r="A9">
        <v>2004</v>
      </c>
      <c r="B9">
        <f>Wage130[[#This Row],[Year]]+0.5</f>
        <v>2004.5</v>
      </c>
      <c r="C9">
        <v>14.69</v>
      </c>
      <c r="D9">
        <v>13.56</v>
      </c>
      <c r="E9">
        <v>105.9</v>
      </c>
      <c r="F9">
        <f>Wage130[[#This Row],[Males]]/(Wage130[[#This Row],[CPI]]/100)</f>
        <v>13.871576959395654</v>
      </c>
      <c r="G9">
        <f>Wage130[[#This Row],[Females]]/(Wage130[[#This Row],[CPI]]/100)</f>
        <v>12.80453257790368</v>
      </c>
      <c r="H9">
        <f>$N$17+$N$18*Wage130[[#This Row],[DecDate]]</f>
        <v>15.844192704912075</v>
      </c>
      <c r="I9" s="5">
        <f>$N$36+$N$37*Wage130[[#This Row],[DecDate]]</f>
        <v>13.57632109596301</v>
      </c>
      <c r="J9" s="5">
        <f>Wage130[[#This Row],[Males(Real)]]-Wage130[[#This Row],[Trend(Real Male)]]</f>
        <v>-1.9726157455164213</v>
      </c>
      <c r="K9" s="5">
        <f>Wage130[[#This Row],[Females(Real)]]-Wage130[[#This Row],[Trend(Real Female)]]</f>
        <v>-0.77178851805932958</v>
      </c>
    </row>
    <row r="10" spans="1:21" ht="15" thickBot="1" x14ac:dyDescent="0.4">
      <c r="A10">
        <v>2005</v>
      </c>
      <c r="B10">
        <f>Wage130[[#This Row],[Year]]+0.5</f>
        <v>2005.5</v>
      </c>
      <c r="C10">
        <v>16.59</v>
      </c>
      <c r="D10">
        <v>13.84</v>
      </c>
      <c r="E10">
        <v>108.1</v>
      </c>
      <c r="F10">
        <f>Wage130[[#This Row],[Males]]/(Wage130[[#This Row],[CPI]]/100)</f>
        <v>15.346901017576318</v>
      </c>
      <c r="G10">
        <f>Wage130[[#This Row],[Females]]/(Wage130[[#This Row],[CPI]]/100)</f>
        <v>12.802960222016651</v>
      </c>
      <c r="H10">
        <f>$N$17+$N$18*Wage130[[#This Row],[DecDate]]</f>
        <v>16.107791609020296</v>
      </c>
      <c r="I10" s="5">
        <f>$N$36+$N$37*Wage130[[#This Row],[DecDate]]</f>
        <v>13.796551814403983</v>
      </c>
      <c r="J10" s="5">
        <f>Wage130[[#This Row],[Males(Real)]]-Wage130[[#This Row],[Trend(Real Male)]]</f>
        <v>-0.76089059144397808</v>
      </c>
      <c r="K10" s="5">
        <f>Wage130[[#This Row],[Females(Real)]]-Wage130[[#This Row],[Trend(Real Female)]]</f>
        <v>-0.99359159238733241</v>
      </c>
      <c r="M10" t="s">
        <v>14</v>
      </c>
    </row>
    <row r="11" spans="1:21" x14ac:dyDescent="0.35">
      <c r="A11">
        <v>2006</v>
      </c>
      <c r="B11">
        <f>Wage130[[#This Row],[Year]]+0.5</f>
        <v>2006.5</v>
      </c>
      <c r="C11">
        <v>17.29</v>
      </c>
      <c r="D11">
        <v>14.71</v>
      </c>
      <c r="E11">
        <v>112.3</v>
      </c>
      <c r="F11">
        <f>Wage130[[#This Row],[Males]]/(Wage130[[#This Row],[CPI]]/100)</f>
        <v>15.396260017809439</v>
      </c>
      <c r="G11">
        <f>Wage130[[#This Row],[Females]]/(Wage130[[#This Row],[CPI]]/100)</f>
        <v>13.098842386464828</v>
      </c>
      <c r="H11">
        <f>$N$17+$N$18*Wage130[[#This Row],[DecDate]]</f>
        <v>16.371390513128404</v>
      </c>
      <c r="I11" s="5">
        <f>$N$36+$N$37*Wage130[[#This Row],[DecDate]]</f>
        <v>14.0167825328449</v>
      </c>
      <c r="J11" s="5">
        <f>Wage130[[#This Row],[Males(Real)]]-Wage130[[#This Row],[Trend(Real Male)]]</f>
        <v>-0.97513049531896456</v>
      </c>
      <c r="K11" s="5">
        <f>Wage130[[#This Row],[Females(Real)]]-Wage130[[#This Row],[Trend(Real Female)]]</f>
        <v>-0.91794014638007226</v>
      </c>
      <c r="M11" s="3"/>
      <c r="N11" s="3" t="s">
        <v>19</v>
      </c>
      <c r="O11" s="3" t="s">
        <v>20</v>
      </c>
      <c r="P11" s="3" t="s">
        <v>21</v>
      </c>
      <c r="Q11" s="3" t="s">
        <v>22</v>
      </c>
      <c r="R11" s="3" t="s">
        <v>23</v>
      </c>
    </row>
    <row r="12" spans="1:21" x14ac:dyDescent="0.35">
      <c r="A12">
        <v>2007</v>
      </c>
      <c r="B12">
        <f>Wage130[[#This Row],[Year]]+0.5</f>
        <v>2007.5</v>
      </c>
      <c r="C12">
        <v>18.760000000000002</v>
      </c>
      <c r="D12">
        <v>17.16</v>
      </c>
      <c r="E12">
        <v>117.9</v>
      </c>
      <c r="F12">
        <f>Wage130[[#This Row],[Males]]/(Wage130[[#This Row],[CPI]]/100)</f>
        <v>15.911789652247668</v>
      </c>
      <c r="G12">
        <f>Wage130[[#This Row],[Females]]/(Wage130[[#This Row],[CPI]]/100)</f>
        <v>14.554707379134859</v>
      </c>
      <c r="H12">
        <f>$N$17+$N$18*Wage130[[#This Row],[DecDate]]</f>
        <v>16.634989417236511</v>
      </c>
      <c r="I12" s="5">
        <f>$N$36+$N$37*Wage130[[#This Row],[DecDate]]</f>
        <v>14.237013251285816</v>
      </c>
      <c r="J12" s="5">
        <f>Wage130[[#This Row],[Males(Real)]]-Wage130[[#This Row],[Trend(Real Male)]]</f>
        <v>-0.72319976498884309</v>
      </c>
      <c r="K12" s="5">
        <f>Wage130[[#This Row],[Females(Real)]]-Wage130[[#This Row],[Trend(Real Female)]]</f>
        <v>0.31769412784904283</v>
      </c>
      <c r="M12" s="1" t="s">
        <v>15</v>
      </c>
      <c r="N12" s="1">
        <v>1</v>
      </c>
      <c r="O12" s="1">
        <v>70.318194833964867</v>
      </c>
      <c r="P12" s="1">
        <v>70.318194833964867</v>
      </c>
      <c r="Q12" s="1">
        <v>106.69696832754272</v>
      </c>
      <c r="R12" s="1">
        <v>1.0950549619091227E-9</v>
      </c>
    </row>
    <row r="13" spans="1:21" x14ac:dyDescent="0.35">
      <c r="A13">
        <v>2008</v>
      </c>
      <c r="B13">
        <f>Wage130[[#This Row],[Year]]+0.5</f>
        <v>2008.5</v>
      </c>
      <c r="C13">
        <v>20.85</v>
      </c>
      <c r="D13">
        <v>17.079999999999998</v>
      </c>
      <c r="E13">
        <v>121.6</v>
      </c>
      <c r="F13">
        <f>Wage130[[#This Row],[Males]]/(Wage130[[#This Row],[CPI]]/100)</f>
        <v>17.14638157894737</v>
      </c>
      <c r="G13">
        <f>Wage130[[#This Row],[Females]]/(Wage130[[#This Row],[CPI]]/100)</f>
        <v>14.046052631578947</v>
      </c>
      <c r="H13">
        <f>$N$17+$N$18*Wage130[[#This Row],[DecDate]]</f>
        <v>16.898588321344619</v>
      </c>
      <c r="I13" s="5">
        <f>$N$36+$N$37*Wage130[[#This Row],[DecDate]]</f>
        <v>14.45724396972679</v>
      </c>
      <c r="J13" s="5">
        <f>Wage130[[#This Row],[Males(Real)]]-Wage130[[#This Row],[Trend(Real Male)]]</f>
        <v>0.24779325760275128</v>
      </c>
      <c r="K13" s="5">
        <f>Wage130[[#This Row],[Females(Real)]]-Wage130[[#This Row],[Trend(Real Female)]]</f>
        <v>-0.4111913381478427</v>
      </c>
      <c r="M13" s="1" t="s">
        <v>16</v>
      </c>
      <c r="N13" s="1">
        <v>21</v>
      </c>
      <c r="O13" s="1">
        <v>13.839962977955317</v>
      </c>
      <c r="P13" s="1">
        <v>0.65904585609311028</v>
      </c>
      <c r="Q13" s="1"/>
      <c r="R13" s="1"/>
    </row>
    <row r="14" spans="1:21" ht="15" thickBot="1" x14ac:dyDescent="0.4">
      <c r="A14">
        <v>2009</v>
      </c>
      <c r="B14">
        <f>Wage130[[#This Row],[Year]]+0.5</f>
        <v>2009.5</v>
      </c>
      <c r="C14">
        <v>21.72</v>
      </c>
      <c r="D14">
        <v>18.91</v>
      </c>
      <c r="E14">
        <v>121.5</v>
      </c>
      <c r="F14">
        <f>Wage130[[#This Row],[Males]]/(Wage130[[#This Row],[CPI]]/100)</f>
        <v>17.876543209876541</v>
      </c>
      <c r="G14">
        <f>Wage130[[#This Row],[Females]]/(Wage130[[#This Row],[CPI]]/100)</f>
        <v>15.563786008230451</v>
      </c>
      <c r="H14">
        <f>$N$17+$N$18*Wage130[[#This Row],[DecDate]]</f>
        <v>17.162187225452726</v>
      </c>
      <c r="I14" s="5">
        <f>$N$36+$N$37*Wage130[[#This Row],[DecDate]]</f>
        <v>14.677474688167706</v>
      </c>
      <c r="J14" s="5">
        <f>Wage130[[#This Row],[Males(Real)]]-Wage130[[#This Row],[Trend(Real Male)]]</f>
        <v>0.71435598442381476</v>
      </c>
      <c r="K14" s="5">
        <f>Wage130[[#This Row],[Females(Real)]]-Wage130[[#This Row],[Trend(Real Female)]]</f>
        <v>0.88631132006274527</v>
      </c>
      <c r="M14" s="2" t="s">
        <v>17</v>
      </c>
      <c r="N14" s="2">
        <v>22</v>
      </c>
      <c r="O14" s="2">
        <v>84.158157811920177</v>
      </c>
      <c r="P14" s="2"/>
      <c r="Q14" s="2"/>
      <c r="R14" s="2"/>
    </row>
    <row r="15" spans="1:21" ht="15" thickBot="1" x14ac:dyDescent="0.4">
      <c r="A15">
        <v>2010</v>
      </c>
      <c r="B15">
        <f>Wage130[[#This Row],[Year]]+0.5</f>
        <v>2010.5</v>
      </c>
      <c r="C15">
        <v>21.88</v>
      </c>
      <c r="D15">
        <v>19.95</v>
      </c>
      <c r="E15">
        <v>122.7</v>
      </c>
      <c r="F15">
        <f>Wage130[[#This Row],[Males]]/(Wage130[[#This Row],[CPI]]/100)</f>
        <v>17.8321108394458</v>
      </c>
      <c r="G15">
        <f>Wage130[[#This Row],[Females]]/(Wage130[[#This Row],[CPI]]/100)</f>
        <v>16.259168704156476</v>
      </c>
      <c r="H15">
        <f>$N$17+$N$18*Wage130[[#This Row],[DecDate]]</f>
        <v>17.425786129560834</v>
      </c>
      <c r="I15" s="5">
        <f>$N$36+$N$37*Wage130[[#This Row],[DecDate]]</f>
        <v>14.897705406608679</v>
      </c>
      <c r="J15" s="5">
        <f>Wage130[[#This Row],[Males(Real)]]-Wage130[[#This Row],[Trend(Real Male)]]</f>
        <v>0.4063247098849665</v>
      </c>
      <c r="K15" s="5">
        <f>Wage130[[#This Row],[Females(Real)]]-Wage130[[#This Row],[Trend(Real Female)]]</f>
        <v>1.3614632975477967</v>
      </c>
    </row>
    <row r="16" spans="1:21" x14ac:dyDescent="0.35">
      <c r="A16">
        <v>2011</v>
      </c>
      <c r="B16">
        <f>Wage130[[#This Row],[Year]]+0.5</f>
        <v>2011.5</v>
      </c>
      <c r="C16">
        <v>22.15</v>
      </c>
      <c r="D16">
        <v>18.41</v>
      </c>
      <c r="E16">
        <v>125.7</v>
      </c>
      <c r="F16">
        <f>Wage130[[#This Row],[Males]]/(Wage130[[#This Row],[CPI]]/100)</f>
        <v>17.621320604614159</v>
      </c>
      <c r="G16">
        <f>Wage130[[#This Row],[Females]]/(Wage130[[#This Row],[CPI]]/100)</f>
        <v>14.645982498011136</v>
      </c>
      <c r="H16">
        <f>$N$17+$N$18*Wage130[[#This Row],[DecDate]]</f>
        <v>17.689385033668941</v>
      </c>
      <c r="I16" s="5">
        <f>$N$36+$N$37*Wage130[[#This Row],[DecDate]]</f>
        <v>15.117936125049596</v>
      </c>
      <c r="J16" s="5">
        <f>Wage130[[#This Row],[Males(Real)]]-Wage130[[#This Row],[Trend(Real Male)]]</f>
        <v>-6.8064429054782494E-2</v>
      </c>
      <c r="K16" s="5">
        <f>Wage130[[#This Row],[Females(Real)]]-Wage130[[#This Row],[Trend(Real Female)]]</f>
        <v>-0.47195362703845944</v>
      </c>
      <c r="M16" s="3"/>
      <c r="N16" s="3" t="s">
        <v>24</v>
      </c>
      <c r="O16" s="3" t="s">
        <v>12</v>
      </c>
      <c r="P16" s="3" t="s">
        <v>25</v>
      </c>
      <c r="Q16" s="3" t="s">
        <v>26</v>
      </c>
      <c r="R16" s="3" t="s">
        <v>27</v>
      </c>
      <c r="S16" s="3" t="s">
        <v>28</v>
      </c>
      <c r="T16" s="3" t="s">
        <v>29</v>
      </c>
      <c r="U16" s="3" t="s">
        <v>30</v>
      </c>
    </row>
    <row r="17" spans="1:21" x14ac:dyDescent="0.35">
      <c r="A17">
        <v>2012</v>
      </c>
      <c r="B17">
        <f>Wage130[[#This Row],[Year]]+0.5</f>
        <v>2012.5</v>
      </c>
      <c r="C17">
        <v>22.7</v>
      </c>
      <c r="D17">
        <v>20.13</v>
      </c>
      <c r="E17">
        <v>127.1</v>
      </c>
      <c r="F17">
        <f>Wage130[[#This Row],[Males]]/(Wage130[[#This Row],[CPI]]/100)</f>
        <v>17.859952793076317</v>
      </c>
      <c r="G17">
        <f>Wage130[[#This Row],[Females]]/(Wage130[[#This Row],[CPI]]/100)</f>
        <v>15.837922895357986</v>
      </c>
      <c r="H17">
        <f>$N$17+$N$18*Wage130[[#This Row],[DecDate]]</f>
        <v>17.952983937777049</v>
      </c>
      <c r="I17" s="5">
        <f>$N$36+$N$37*Wage130[[#This Row],[DecDate]]</f>
        <v>15.338166843490512</v>
      </c>
      <c r="J17" s="5">
        <f>Wage130[[#This Row],[Males(Real)]]-Wage130[[#This Row],[Trend(Real Male)]]</f>
        <v>-9.3031144700731261E-2</v>
      </c>
      <c r="K17" s="5">
        <f>Wage130[[#This Row],[Females(Real)]]-Wage130[[#This Row],[Trend(Real Female)]]</f>
        <v>0.49975605186747352</v>
      </c>
      <c r="M17" s="1" t="s">
        <v>18</v>
      </c>
      <c r="N17" s="1">
        <v>-512.53981057981059</v>
      </c>
      <c r="O17" s="1">
        <v>51.25565232071979</v>
      </c>
      <c r="P17" s="1">
        <v>-9.9996739359147604</v>
      </c>
      <c r="Q17" s="1">
        <v>1.9385305505111969E-9</v>
      </c>
      <c r="R17" s="1">
        <v>-619.13177476652788</v>
      </c>
      <c r="S17" s="1">
        <v>-405.9478463930933</v>
      </c>
      <c r="T17" s="1">
        <v>-619.13177476652788</v>
      </c>
      <c r="U17" s="1">
        <v>-405.9478463930933</v>
      </c>
    </row>
    <row r="18" spans="1:21" ht="15" thickBot="1" x14ac:dyDescent="0.4">
      <c r="A18">
        <v>2013</v>
      </c>
      <c r="B18">
        <f>Wage130[[#This Row],[Year]]+0.5</f>
        <v>2013.5</v>
      </c>
      <c r="C18">
        <v>25.1</v>
      </c>
      <c r="D18">
        <v>20.51</v>
      </c>
      <c r="E18">
        <v>128.9</v>
      </c>
      <c r="F18">
        <f>Wage130[[#This Row],[Males]]/(Wage130[[#This Row],[CPI]]/100)</f>
        <v>19.47245927075252</v>
      </c>
      <c r="G18">
        <f>Wage130[[#This Row],[Females]]/(Wage130[[#This Row],[CPI]]/100)</f>
        <v>15.911559348332039</v>
      </c>
      <c r="H18">
        <f>$N$17+$N$18*Wage130[[#This Row],[DecDate]]</f>
        <v>18.216582841885156</v>
      </c>
      <c r="I18" s="5">
        <f>$N$36+$N$37*Wage130[[#This Row],[DecDate]]</f>
        <v>15.558397561931486</v>
      </c>
      <c r="J18" s="5">
        <f>Wage130[[#This Row],[Males(Real)]]-Wage130[[#This Row],[Trend(Real Male)]]</f>
        <v>1.2558764288673636</v>
      </c>
      <c r="K18" s="5">
        <f>Wage130[[#This Row],[Females(Real)]]-Wage130[[#This Row],[Trend(Real Female)]]</f>
        <v>0.35316178640055362</v>
      </c>
      <c r="M18" s="2" t="s">
        <v>31</v>
      </c>
      <c r="N18" s="2">
        <v>0.26359890410811809</v>
      </c>
      <c r="O18" s="2">
        <v>2.5519229672855699E-2</v>
      </c>
      <c r="P18" s="2">
        <v>10.329422458566727</v>
      </c>
      <c r="Q18" s="2">
        <v>1.0950549619091227E-9</v>
      </c>
      <c r="R18" s="2">
        <v>0.21052876077366195</v>
      </c>
      <c r="S18" s="2">
        <v>0.31666904744257424</v>
      </c>
      <c r="T18" s="2">
        <v>0.21052876077366195</v>
      </c>
      <c r="U18" s="2">
        <v>0.31666904744257424</v>
      </c>
    </row>
    <row r="19" spans="1:21" x14ac:dyDescent="0.35">
      <c r="A19">
        <v>2014</v>
      </c>
      <c r="B19">
        <f>Wage130[[#This Row],[Year]]+0.5</f>
        <v>2014.5</v>
      </c>
      <c r="C19">
        <v>25.25</v>
      </c>
      <c r="D19">
        <v>20.260000000000002</v>
      </c>
      <c r="E19">
        <v>132.19999999999999</v>
      </c>
      <c r="F19">
        <f>Wage130[[#This Row],[Males]]/(Wage130[[#This Row],[CPI]]/100)</f>
        <v>19.099848714069594</v>
      </c>
      <c r="G19">
        <f>Wage130[[#This Row],[Females]]/(Wage130[[#This Row],[CPI]]/100)</f>
        <v>15.325264750378217</v>
      </c>
      <c r="H19">
        <f>$N$17+$N$18*Wage130[[#This Row],[DecDate]]</f>
        <v>18.480181745993264</v>
      </c>
      <c r="I19" s="5">
        <f>$N$36+$N$37*Wage130[[#This Row],[DecDate]]</f>
        <v>15.778628280372402</v>
      </c>
      <c r="J19" s="5">
        <f>Wage130[[#This Row],[Males(Real)]]-Wage130[[#This Row],[Trend(Real Male)]]</f>
        <v>0.6196669680763307</v>
      </c>
      <c r="K19" s="5">
        <f>Wage130[[#This Row],[Females(Real)]]-Wage130[[#This Row],[Trend(Real Female)]]</f>
        <v>-0.45336352999418494</v>
      </c>
    </row>
    <row r="20" spans="1:21" x14ac:dyDescent="0.35">
      <c r="A20">
        <v>2015</v>
      </c>
      <c r="B20">
        <f>Wage130[[#This Row],[Year]]+0.5</f>
        <v>2015.5</v>
      </c>
      <c r="C20">
        <v>26.95</v>
      </c>
      <c r="D20">
        <v>22.55</v>
      </c>
      <c r="E20">
        <v>133.69999999999999</v>
      </c>
      <c r="F20">
        <f>Wage130[[#This Row],[Males]]/(Wage130[[#This Row],[CPI]]/100)</f>
        <v>20.157068062827225</v>
      </c>
      <c r="G20">
        <f>Wage130[[#This Row],[Females]]/(Wage130[[#This Row],[CPI]]/100)</f>
        <v>16.866118175018698</v>
      </c>
      <c r="H20">
        <f>$N$17+$N$18*Wage130[[#This Row],[DecDate]]</f>
        <v>18.743780650101371</v>
      </c>
      <c r="I20" s="5">
        <f>$N$36+$N$37*Wage130[[#This Row],[DecDate]]</f>
        <v>15.998858998813375</v>
      </c>
      <c r="J20" s="5">
        <f>Wage130[[#This Row],[Males(Real)]]-Wage130[[#This Row],[Trend(Real Male)]]</f>
        <v>1.4132874127258539</v>
      </c>
      <c r="K20" s="5">
        <f>Wage130[[#This Row],[Females(Real)]]-Wage130[[#This Row],[Trend(Real Female)]]</f>
        <v>0.867259176205323</v>
      </c>
      <c r="M20" t="s">
        <v>7</v>
      </c>
    </row>
    <row r="21" spans="1:21" ht="15" thickBot="1" x14ac:dyDescent="0.4">
      <c r="A21">
        <v>2016</v>
      </c>
      <c r="B21">
        <f>Wage130[[#This Row],[Year]]+0.5</f>
        <v>2016.5</v>
      </c>
      <c r="C21">
        <v>26.08</v>
      </c>
      <c r="D21">
        <v>23.11</v>
      </c>
      <c r="E21">
        <v>135.19999999999999</v>
      </c>
      <c r="F21">
        <f>Wage130[[#This Row],[Males]]/(Wage130[[#This Row],[CPI]]/100)</f>
        <v>19.289940828402369</v>
      </c>
      <c r="G21">
        <f>Wage130[[#This Row],[Females]]/(Wage130[[#This Row],[CPI]]/100)</f>
        <v>17.09319526627219</v>
      </c>
      <c r="H21">
        <f>$N$17+$N$18*Wage130[[#This Row],[DecDate]]</f>
        <v>19.007379554209592</v>
      </c>
      <c r="I21" s="5">
        <f>$N$36+$N$37*Wage130[[#This Row],[DecDate]]</f>
        <v>16.219089717254292</v>
      </c>
      <c r="J21" s="5">
        <f>Wage130[[#This Row],[Males(Real)]]-Wage130[[#This Row],[Trend(Real Male)]]</f>
        <v>0.28256127419277632</v>
      </c>
      <c r="K21" s="5">
        <f>Wage130[[#This Row],[Females(Real)]]-Wage130[[#This Row],[Trend(Real Female)]]</f>
        <v>0.87410554901789794</v>
      </c>
    </row>
    <row r="22" spans="1:21" x14ac:dyDescent="0.35">
      <c r="A22">
        <v>2017</v>
      </c>
      <c r="B22">
        <f>Wage130[[#This Row],[Year]]+0.5</f>
        <v>2017.5</v>
      </c>
      <c r="C22">
        <v>25.6</v>
      </c>
      <c r="D22">
        <v>22.27</v>
      </c>
      <c r="E22">
        <v>137.30000000000001</v>
      </c>
      <c r="F22">
        <f>Wage130[[#This Row],[Males]]/(Wage130[[#This Row],[CPI]]/100)</f>
        <v>18.645302257829567</v>
      </c>
      <c r="G22">
        <f>Wage130[[#This Row],[Females]]/(Wage130[[#This Row],[CPI]]/100)</f>
        <v>16.21995630007283</v>
      </c>
      <c r="H22">
        <f>$N$17+$N$18*Wage130[[#This Row],[DecDate]]</f>
        <v>19.2709784583177</v>
      </c>
      <c r="I22" s="5">
        <f>$N$36+$N$37*Wage130[[#This Row],[DecDate]]</f>
        <v>16.439320435695208</v>
      </c>
      <c r="J22" s="5">
        <f>Wage130[[#This Row],[Males(Real)]]-Wage130[[#This Row],[Trend(Real Male)]]</f>
        <v>-0.62567620048813311</v>
      </c>
      <c r="K22" s="5">
        <f>Wage130[[#This Row],[Females(Real)]]-Wage130[[#This Row],[Trend(Real Female)]]</f>
        <v>-0.21936413562237789</v>
      </c>
      <c r="M22" s="4" t="s">
        <v>8</v>
      </c>
      <c r="N22" s="4"/>
    </row>
    <row r="23" spans="1:21" x14ac:dyDescent="0.35">
      <c r="A23">
        <v>2018</v>
      </c>
      <c r="B23">
        <f>Wage130[[#This Row],[Year]]+0.5</f>
        <v>2018.5</v>
      </c>
      <c r="C23">
        <v>25.76</v>
      </c>
      <c r="D23">
        <v>21.36</v>
      </c>
      <c r="E23">
        <v>140.6</v>
      </c>
      <c r="F23">
        <f>Wage130[[#This Row],[Males]]/(Wage130[[#This Row],[CPI]]/100)</f>
        <v>18.321479374110954</v>
      </c>
      <c r="G23">
        <f>Wage130[[#This Row],[Females]]/(Wage130[[#This Row],[CPI]]/100)</f>
        <v>15.19203413940256</v>
      </c>
      <c r="H23">
        <f>$N$17+$N$18*Wage130[[#This Row],[DecDate]]</f>
        <v>19.534577362425807</v>
      </c>
      <c r="I23" s="5">
        <f>$N$36+$N$37*Wage130[[#This Row],[DecDate]]</f>
        <v>16.659551154136182</v>
      </c>
      <c r="J23" s="5">
        <f>Wage130[[#This Row],[Males(Real)]]-Wage130[[#This Row],[Trend(Real Male)]]</f>
        <v>-1.2130979883148534</v>
      </c>
      <c r="K23" s="5">
        <f>Wage130[[#This Row],[Females(Real)]]-Wage130[[#This Row],[Trend(Real Female)]]</f>
        <v>-1.4675170147336214</v>
      </c>
      <c r="M23" s="1" t="s">
        <v>9</v>
      </c>
      <c r="N23" s="1">
        <v>0.90243157173800637</v>
      </c>
    </row>
    <row r="24" spans="1:21" x14ac:dyDescent="0.35">
      <c r="A24">
        <v>2019</v>
      </c>
      <c r="B24">
        <f>Wage130[[#This Row],[Year]]+0.5</f>
        <v>2019.5</v>
      </c>
      <c r="C24">
        <v>28.01</v>
      </c>
      <c r="D24">
        <v>24.37</v>
      </c>
      <c r="E24">
        <v>143.1</v>
      </c>
      <c r="F24">
        <f>Wage130[[#This Row],[Males]]/(Wage130[[#This Row],[CPI]]/100)</f>
        <v>19.57372466806429</v>
      </c>
      <c r="G24">
        <f>Wage130[[#This Row],[Females]]/(Wage130[[#This Row],[CPI]]/100)</f>
        <v>17.03004891684137</v>
      </c>
      <c r="H24">
        <f>$N$17+$N$18*Wage130[[#This Row],[DecDate]]</f>
        <v>19.798176266533915</v>
      </c>
      <c r="I24" s="5">
        <f>$N$36+$N$37*Wage130[[#This Row],[DecDate]]</f>
        <v>16.879781872577098</v>
      </c>
      <c r="J24" s="5">
        <f>Wage130[[#This Row],[Males(Real)]]-Wage130[[#This Row],[Trend(Real Male)]]</f>
        <v>-0.22445159846962426</v>
      </c>
      <c r="K24" s="5">
        <f>Wage130[[#This Row],[Females(Real)]]-Wage130[[#This Row],[Trend(Real Female)]]</f>
        <v>0.15026704426427173</v>
      </c>
      <c r="M24" s="1" t="s">
        <v>10</v>
      </c>
      <c r="N24" s="1">
        <v>0.81438274166952862</v>
      </c>
    </row>
    <row r="25" spans="1:21" x14ac:dyDescent="0.35">
      <c r="M25" s="1" t="s">
        <v>11</v>
      </c>
      <c r="N25" s="1">
        <v>0.8055438246061728</v>
      </c>
    </row>
    <row r="26" spans="1:21" x14ac:dyDescent="0.35">
      <c r="M26" s="1" t="s">
        <v>12</v>
      </c>
      <c r="N26" s="1">
        <v>0.72988325550450828</v>
      </c>
    </row>
    <row r="27" spans="1:21" ht="15" thickBot="1" x14ac:dyDescent="0.4">
      <c r="M27" s="2" t="s">
        <v>13</v>
      </c>
      <c r="N27" s="2">
        <v>23</v>
      </c>
    </row>
    <row r="29" spans="1:21" ht="15" thickBot="1" x14ac:dyDescent="0.4">
      <c r="M29" t="s">
        <v>14</v>
      </c>
    </row>
    <row r="30" spans="1:21" x14ac:dyDescent="0.35">
      <c r="M30" s="3"/>
      <c r="N30" s="3" t="s">
        <v>19</v>
      </c>
      <c r="O30" s="3" t="s">
        <v>20</v>
      </c>
      <c r="P30" s="3" t="s">
        <v>21</v>
      </c>
      <c r="Q30" s="3" t="s">
        <v>22</v>
      </c>
      <c r="R30" s="3" t="s">
        <v>23</v>
      </c>
    </row>
    <row r="31" spans="1:21" x14ac:dyDescent="0.35">
      <c r="M31" s="1" t="s">
        <v>15</v>
      </c>
      <c r="N31" s="1">
        <v>1</v>
      </c>
      <c r="O31" s="1">
        <v>49.083588177152627</v>
      </c>
      <c r="P31" s="1">
        <v>49.083588177152627</v>
      </c>
      <c r="Q31" s="1">
        <v>92.136031578549549</v>
      </c>
      <c r="R31" s="1">
        <v>3.9493855150546631E-9</v>
      </c>
    </row>
    <row r="32" spans="1:21" x14ac:dyDescent="0.35">
      <c r="M32" s="1" t="s">
        <v>16</v>
      </c>
      <c r="N32" s="1">
        <v>21</v>
      </c>
      <c r="O32" s="1">
        <v>11.187320899983044</v>
      </c>
      <c r="P32" s="1">
        <v>0.53272956666585924</v>
      </c>
      <c r="Q32" s="1"/>
      <c r="R32" s="1"/>
    </row>
    <row r="33" spans="13:21" ht="15" thickBot="1" x14ac:dyDescent="0.4">
      <c r="M33" s="2" t="s">
        <v>17</v>
      </c>
      <c r="N33" s="2">
        <v>22</v>
      </c>
      <c r="O33" s="2">
        <v>60.27090907713567</v>
      </c>
      <c r="P33" s="2"/>
      <c r="Q33" s="2"/>
      <c r="R33" s="2"/>
    </row>
    <row r="34" spans="13:21" ht="15" thickBot="1" x14ac:dyDescent="0.4"/>
    <row r="35" spans="13:21" x14ac:dyDescent="0.35">
      <c r="M35" s="3"/>
      <c r="N35" s="3" t="s">
        <v>24</v>
      </c>
      <c r="O35" s="3" t="s">
        <v>12</v>
      </c>
      <c r="P35" s="3" t="s">
        <v>25</v>
      </c>
      <c r="Q35" s="3" t="s">
        <v>26</v>
      </c>
      <c r="R35" s="3" t="s">
        <v>27</v>
      </c>
      <c r="S35" s="3" t="s">
        <v>28</v>
      </c>
      <c r="T35" s="3" t="s">
        <v>29</v>
      </c>
      <c r="U35" s="3" t="s">
        <v>30</v>
      </c>
    </row>
    <row r="36" spans="13:21" x14ac:dyDescent="0.35">
      <c r="M36" s="1" t="s">
        <v>18</v>
      </c>
      <c r="N36" s="1">
        <v>-427.87615401890076</v>
      </c>
      <c r="O36" s="1">
        <v>46.082639741186803</v>
      </c>
      <c r="P36" s="1">
        <v>-9.2849749151084833</v>
      </c>
      <c r="Q36" s="1">
        <v>6.9872509727997692E-9</v>
      </c>
      <c r="R36" s="1">
        <v>-523.71024962627087</v>
      </c>
      <c r="S36" s="1">
        <v>-332.04205841153072</v>
      </c>
      <c r="T36" s="1">
        <v>-523.71024962627087</v>
      </c>
      <c r="U36" s="1">
        <v>-332.04205841153072</v>
      </c>
    </row>
    <row r="37" spans="13:21" ht="15" thickBot="1" x14ac:dyDescent="0.4">
      <c r="M37" s="2" t="s">
        <v>31</v>
      </c>
      <c r="N37" s="2">
        <v>0.22023071844093978</v>
      </c>
      <c r="O37" s="2">
        <v>2.2943683559587147E-2</v>
      </c>
      <c r="P37" s="2">
        <v>9.5987515635393752</v>
      </c>
      <c r="Q37" s="2">
        <v>3.9493855150546358E-9</v>
      </c>
      <c r="R37" s="2">
        <v>0.17251671646137148</v>
      </c>
      <c r="S37" s="2">
        <v>0.26794472042050804</v>
      </c>
      <c r="T37" s="2">
        <v>0.17251671646137148</v>
      </c>
      <c r="U37" s="2">
        <v>0.26794472042050804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3893-80A0-4012-87CC-4F12691233B9}">
  <dimension ref="A1:B14"/>
  <sheetViews>
    <sheetView workbookViewId="0">
      <selection activeCell="B13" sqref="B13"/>
    </sheetView>
  </sheetViews>
  <sheetFormatPr defaultRowHeight="14.5" x14ac:dyDescent="0.35"/>
  <sheetData>
    <row r="1" spans="1:2" x14ac:dyDescent="0.35">
      <c r="A1" s="3" t="s">
        <v>218</v>
      </c>
      <c r="B1" s="3" t="s">
        <v>220</v>
      </c>
    </row>
    <row r="2" spans="1:2" x14ac:dyDescent="0.35">
      <c r="A2" s="1">
        <v>624.4</v>
      </c>
      <c r="B2" s="1">
        <v>1</v>
      </c>
    </row>
    <row r="3" spans="1:2" x14ac:dyDescent="0.35">
      <c r="A3" s="1">
        <v>4570.415</v>
      </c>
      <c r="B3" s="1">
        <v>77</v>
      </c>
    </row>
    <row r="4" spans="1:2" x14ac:dyDescent="0.35">
      <c r="A4" s="1">
        <v>8516.43</v>
      </c>
      <c r="B4" s="1">
        <v>25</v>
      </c>
    </row>
    <row r="5" spans="1:2" x14ac:dyDescent="0.35">
      <c r="A5" s="1">
        <v>12462.445</v>
      </c>
      <c r="B5" s="1">
        <v>12</v>
      </c>
    </row>
    <row r="6" spans="1:2" x14ac:dyDescent="0.35">
      <c r="A6" s="1">
        <v>16408.46</v>
      </c>
      <c r="B6" s="1">
        <v>7</v>
      </c>
    </row>
    <row r="7" spans="1:2" x14ac:dyDescent="0.35">
      <c r="A7" s="1">
        <v>20354.475000000002</v>
      </c>
      <c r="B7" s="1">
        <v>14</v>
      </c>
    </row>
    <row r="8" spans="1:2" x14ac:dyDescent="0.35">
      <c r="A8" s="1">
        <v>24300.49</v>
      </c>
      <c r="B8" s="1">
        <v>7</v>
      </c>
    </row>
    <row r="9" spans="1:2" x14ac:dyDescent="0.35">
      <c r="A9" s="1">
        <v>28246.505000000001</v>
      </c>
      <c r="B9" s="1">
        <v>4</v>
      </c>
    </row>
    <row r="10" spans="1:2" x14ac:dyDescent="0.35">
      <c r="A10" s="1">
        <v>32192.52</v>
      </c>
      <c r="B10" s="1">
        <v>3</v>
      </c>
    </row>
    <row r="11" spans="1:2" x14ac:dyDescent="0.35">
      <c r="A11" s="1">
        <v>36138.535000000003</v>
      </c>
      <c r="B11" s="1">
        <v>0</v>
      </c>
    </row>
    <row r="12" spans="1:2" x14ac:dyDescent="0.35">
      <c r="A12" s="1">
        <v>40084.550000000003</v>
      </c>
      <c r="B12" s="1">
        <v>1</v>
      </c>
    </row>
    <row r="13" spans="1:2" x14ac:dyDescent="0.35">
      <c r="A13" s="1">
        <v>44030.565000000002</v>
      </c>
      <c r="B13" s="1">
        <v>0</v>
      </c>
    </row>
    <row r="14" spans="1:2" ht="15" thickBot="1" x14ac:dyDescent="0.4">
      <c r="A14" s="2" t="s">
        <v>219</v>
      </c>
      <c r="B14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96D1-A280-4BC7-B1A7-DCCD280BA951}">
  <dimension ref="A1:EW49"/>
  <sheetViews>
    <sheetView workbookViewId="0">
      <selection activeCell="A36" sqref="A36:XFD36"/>
    </sheetView>
  </sheetViews>
  <sheetFormatPr defaultRowHeight="14.5" x14ac:dyDescent="0.35"/>
  <cols>
    <col min="1" max="1" width="6.81640625" bestFit="1" customWidth="1"/>
    <col min="2" max="2" width="8.81640625" bestFit="1" customWidth="1"/>
    <col min="3" max="3" width="7.81640625" bestFit="1" customWidth="1"/>
    <col min="4" max="9" width="8.81640625" bestFit="1" customWidth="1"/>
    <col min="10" max="10" width="6.81640625" bestFit="1" customWidth="1"/>
    <col min="11" max="11" width="8.81640625" bestFit="1" customWidth="1"/>
    <col min="12" max="14" width="7.81640625" bestFit="1" customWidth="1"/>
    <col min="15" max="16" width="8.81640625" bestFit="1" customWidth="1"/>
    <col min="17" max="17" width="8.81640625" style="6" bestFit="1" customWidth="1"/>
    <col min="18" max="18" width="7.81640625" bestFit="1" customWidth="1"/>
    <col min="19" max="19" width="8.81640625" bestFit="1" customWidth="1"/>
    <col min="20" max="20" width="7.81640625" bestFit="1" customWidth="1"/>
    <col min="21" max="22" width="8.81640625" bestFit="1" customWidth="1"/>
    <col min="23" max="23" width="7.81640625" bestFit="1" customWidth="1"/>
    <col min="24" max="24" width="8.81640625" bestFit="1" customWidth="1"/>
    <col min="25" max="25" width="7.81640625" bestFit="1" customWidth="1"/>
    <col min="26" max="29" width="8.81640625" bestFit="1" customWidth="1"/>
    <col min="30" max="33" width="7.81640625" bestFit="1" customWidth="1"/>
    <col min="34" max="34" width="8.81640625" bestFit="1" customWidth="1"/>
    <col min="35" max="36" width="7.81640625" bestFit="1" customWidth="1"/>
    <col min="37" max="37" width="8.81640625" bestFit="1" customWidth="1"/>
    <col min="38" max="38" width="8.81640625" style="6" bestFit="1" customWidth="1"/>
    <col min="39" max="40" width="8.81640625" bestFit="1" customWidth="1"/>
    <col min="41" max="41" width="7.81640625" bestFit="1" customWidth="1"/>
    <col min="42" max="46" width="8.81640625" bestFit="1" customWidth="1"/>
    <col min="47" max="47" width="8.81640625" style="6" bestFit="1" customWidth="1"/>
    <col min="48" max="48" width="8.81640625" bestFit="1" customWidth="1"/>
    <col min="49" max="49" width="7.81640625" bestFit="1" customWidth="1"/>
    <col min="50" max="50" width="8.81640625" bestFit="1" customWidth="1"/>
    <col min="51" max="51" width="7.81640625" bestFit="1" customWidth="1"/>
    <col min="52" max="54" width="8.81640625" bestFit="1" customWidth="1"/>
    <col min="55" max="58" width="7.81640625" bestFit="1" customWidth="1"/>
    <col min="59" max="61" width="8.81640625" bestFit="1" customWidth="1"/>
    <col min="62" max="62" width="7.81640625" bestFit="1" customWidth="1"/>
    <col min="63" max="63" width="8.81640625" bestFit="1" customWidth="1"/>
    <col min="64" max="65" width="7.81640625" bestFit="1" customWidth="1"/>
    <col min="66" max="67" width="8.81640625" bestFit="1" customWidth="1"/>
    <col min="68" max="68" width="7.81640625" bestFit="1" customWidth="1"/>
    <col min="69" max="74" width="8.81640625" bestFit="1" customWidth="1"/>
    <col min="75" max="76" width="7.81640625" bestFit="1" customWidth="1"/>
    <col min="77" max="77" width="8.81640625" bestFit="1" customWidth="1"/>
    <col min="78" max="79" width="7.81640625" bestFit="1" customWidth="1"/>
    <col min="80" max="82" width="8.81640625" bestFit="1" customWidth="1"/>
    <col min="83" max="83" width="7.81640625" bestFit="1" customWidth="1"/>
    <col min="84" max="84" width="8.81640625" bestFit="1" customWidth="1"/>
    <col min="85" max="85" width="7.81640625" bestFit="1" customWidth="1"/>
    <col min="86" max="87" width="8.81640625" bestFit="1" customWidth="1"/>
    <col min="88" max="88" width="7.81640625" bestFit="1" customWidth="1"/>
    <col min="89" max="89" width="8.81640625" bestFit="1" customWidth="1"/>
    <col min="90" max="91" width="7.81640625" bestFit="1" customWidth="1"/>
    <col min="92" max="93" width="8.81640625" bestFit="1" customWidth="1"/>
    <col min="94" max="94" width="7.81640625" bestFit="1" customWidth="1"/>
    <col min="95" max="95" width="8.81640625" bestFit="1" customWidth="1"/>
    <col min="96" max="96" width="7.81640625" bestFit="1" customWidth="1"/>
    <col min="97" max="97" width="8.81640625" bestFit="1" customWidth="1"/>
    <col min="98" max="99" width="7.81640625" bestFit="1" customWidth="1"/>
    <col min="100" max="101" width="8.81640625" bestFit="1" customWidth="1"/>
    <col min="102" max="102" width="7.81640625" bestFit="1" customWidth="1"/>
    <col min="103" max="104" width="8.81640625" bestFit="1" customWidth="1"/>
    <col min="105" max="107" width="7.81640625" bestFit="1" customWidth="1"/>
    <col min="108" max="109" width="8.81640625" bestFit="1" customWidth="1"/>
    <col min="110" max="110" width="7.81640625" bestFit="1" customWidth="1"/>
    <col min="111" max="112" width="8.81640625" bestFit="1" customWidth="1"/>
    <col min="113" max="113" width="7.81640625" bestFit="1" customWidth="1"/>
    <col min="114" max="115" width="8.81640625" bestFit="1" customWidth="1"/>
    <col min="116" max="116" width="7.81640625" bestFit="1" customWidth="1"/>
    <col min="117" max="118" width="8.81640625" bestFit="1" customWidth="1"/>
    <col min="119" max="120" width="7.81640625" bestFit="1" customWidth="1"/>
    <col min="121" max="121" width="8.81640625" bestFit="1" customWidth="1"/>
    <col min="122" max="122" width="7.81640625" bestFit="1" customWidth="1"/>
    <col min="123" max="123" width="8.81640625" style="6" bestFit="1" customWidth="1"/>
    <col min="124" max="125" width="7.81640625" bestFit="1" customWidth="1"/>
    <col min="126" max="126" width="8.81640625" bestFit="1" customWidth="1"/>
    <col min="127" max="129" width="7.81640625" bestFit="1" customWidth="1"/>
    <col min="130" max="131" width="8.81640625" bestFit="1" customWidth="1"/>
    <col min="132" max="132" width="7.81640625" bestFit="1" customWidth="1"/>
    <col min="133" max="133" width="8.81640625" bestFit="1" customWidth="1"/>
    <col min="134" max="134" width="7.81640625" bestFit="1" customWidth="1"/>
    <col min="135" max="135" width="8.81640625" bestFit="1" customWidth="1"/>
    <col min="136" max="137" width="7.81640625" bestFit="1" customWidth="1"/>
    <col min="138" max="142" width="8.81640625" bestFit="1" customWidth="1"/>
    <col min="143" max="144" width="7.81640625" bestFit="1" customWidth="1"/>
    <col min="145" max="149" width="8.81640625" bestFit="1" customWidth="1"/>
    <col min="150" max="150" width="7.81640625" bestFit="1" customWidth="1"/>
    <col min="151" max="151" width="8.81640625" bestFit="1" customWidth="1"/>
    <col min="152" max="153" width="7.81640625" bestFit="1" customWidth="1"/>
  </cols>
  <sheetData>
    <row r="1" spans="1:153" x14ac:dyDescent="0.3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s="6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s="6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s="6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86</v>
      </c>
      <c r="BA1" t="s">
        <v>87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98</v>
      </c>
      <c r="BM1" t="s">
        <v>99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  <c r="BX1" t="s">
        <v>110</v>
      </c>
      <c r="BY1" t="s">
        <v>111</v>
      </c>
      <c r="BZ1" t="s">
        <v>112</v>
      </c>
      <c r="CA1" t="s">
        <v>113</v>
      </c>
      <c r="CB1" t="s">
        <v>114</v>
      </c>
      <c r="CC1" t="s">
        <v>115</v>
      </c>
      <c r="CD1" t="s">
        <v>116</v>
      </c>
      <c r="CE1" t="s">
        <v>117</v>
      </c>
      <c r="CF1" t="s">
        <v>118</v>
      </c>
      <c r="CG1" t="s">
        <v>119</v>
      </c>
      <c r="CH1" t="s">
        <v>120</v>
      </c>
      <c r="CI1" t="s">
        <v>121</v>
      </c>
      <c r="CJ1" t="s">
        <v>122</v>
      </c>
      <c r="CK1" t="s">
        <v>123</v>
      </c>
      <c r="CL1" t="s">
        <v>124</v>
      </c>
      <c r="CM1" t="s">
        <v>125</v>
      </c>
      <c r="CN1" t="s">
        <v>126</v>
      </c>
      <c r="CO1" t="s">
        <v>127</v>
      </c>
      <c r="CP1" t="s">
        <v>128</v>
      </c>
      <c r="CQ1" t="s">
        <v>129</v>
      </c>
      <c r="CR1" t="s">
        <v>130</v>
      </c>
      <c r="CS1" t="s">
        <v>131</v>
      </c>
      <c r="CT1" t="s">
        <v>132</v>
      </c>
      <c r="CU1" t="s">
        <v>133</v>
      </c>
      <c r="CV1" t="s">
        <v>134</v>
      </c>
      <c r="CW1" t="s">
        <v>135</v>
      </c>
      <c r="CX1" t="s">
        <v>136</v>
      </c>
      <c r="CY1" t="s">
        <v>137</v>
      </c>
      <c r="CZ1" t="s">
        <v>138</v>
      </c>
      <c r="DA1" t="s">
        <v>139</v>
      </c>
      <c r="DB1" t="s">
        <v>140</v>
      </c>
      <c r="DC1" t="s">
        <v>141</v>
      </c>
      <c r="DD1" t="s">
        <v>142</v>
      </c>
      <c r="DE1" t="s">
        <v>143</v>
      </c>
      <c r="DF1" t="s">
        <v>144</v>
      </c>
      <c r="DG1" t="s">
        <v>145</v>
      </c>
      <c r="DH1" t="s">
        <v>146</v>
      </c>
      <c r="DI1" t="s">
        <v>147</v>
      </c>
      <c r="DJ1" t="s">
        <v>148</v>
      </c>
      <c r="DK1" t="s">
        <v>149</v>
      </c>
      <c r="DL1" t="s">
        <v>150</v>
      </c>
      <c r="DM1" t="s">
        <v>151</v>
      </c>
      <c r="DN1" t="s">
        <v>152</v>
      </c>
      <c r="DO1" t="s">
        <v>153</v>
      </c>
      <c r="DP1" t="s">
        <v>154</v>
      </c>
      <c r="DQ1" t="s">
        <v>155</v>
      </c>
      <c r="DR1" t="s">
        <v>156</v>
      </c>
      <c r="DS1" s="6" t="s">
        <v>157</v>
      </c>
      <c r="DT1" t="s">
        <v>158</v>
      </c>
      <c r="DU1" t="s">
        <v>159</v>
      </c>
      <c r="DV1" t="s">
        <v>160</v>
      </c>
      <c r="DW1" t="s">
        <v>161</v>
      </c>
      <c r="DX1" t="s">
        <v>162</v>
      </c>
      <c r="DY1" t="s">
        <v>163</v>
      </c>
      <c r="DZ1" t="s">
        <v>164</v>
      </c>
      <c r="EA1" t="s">
        <v>165</v>
      </c>
      <c r="EB1" t="s">
        <v>166</v>
      </c>
      <c r="EC1" t="s">
        <v>167</v>
      </c>
      <c r="ED1" t="s">
        <v>168</v>
      </c>
      <c r="EE1" t="s">
        <v>169</v>
      </c>
      <c r="EF1" t="s">
        <v>170</v>
      </c>
      <c r="EG1" t="s">
        <v>171</v>
      </c>
      <c r="EH1" t="s">
        <v>172</v>
      </c>
      <c r="EI1" t="s">
        <v>173</v>
      </c>
      <c r="EJ1" t="s">
        <v>174</v>
      </c>
      <c r="EK1" t="s">
        <v>175</v>
      </c>
      <c r="EL1" t="s">
        <v>176</v>
      </c>
      <c r="EM1" t="s">
        <v>177</v>
      </c>
      <c r="EN1" t="s">
        <v>178</v>
      </c>
      <c r="EO1" t="s">
        <v>179</v>
      </c>
      <c r="EP1" t="s">
        <v>180</v>
      </c>
      <c r="EQ1" t="s">
        <v>181</v>
      </c>
      <c r="ER1" t="s">
        <v>182</v>
      </c>
      <c r="ES1" t="s">
        <v>183</v>
      </c>
      <c r="ET1" t="s">
        <v>184</v>
      </c>
      <c r="EU1" t="s">
        <v>185</v>
      </c>
      <c r="EV1" t="s">
        <v>186</v>
      </c>
      <c r="EW1" t="s">
        <v>187</v>
      </c>
    </row>
    <row r="2" spans="1:153" x14ac:dyDescent="0.35">
      <c r="A2">
        <v>1970</v>
      </c>
      <c r="B2">
        <v>5914.53</v>
      </c>
      <c r="C2">
        <v>3910.61</v>
      </c>
      <c r="D2">
        <v>8999.2900000000009</v>
      </c>
      <c r="E2">
        <v>2871.92</v>
      </c>
      <c r="F2">
        <v>3635.18</v>
      </c>
      <c r="G2">
        <v>4207.87</v>
      </c>
      <c r="H2">
        <v>19500.349999999999</v>
      </c>
      <c r="I2">
        <v>13693.77</v>
      </c>
      <c r="J2">
        <v>760.04</v>
      </c>
      <c r="K2">
        <v>15997.31</v>
      </c>
      <c r="L2">
        <v>1888.43</v>
      </c>
      <c r="M2">
        <v>746.4</v>
      </c>
      <c r="N2">
        <v>1517.12</v>
      </c>
      <c r="O2">
        <v>3734.72</v>
      </c>
      <c r="P2">
        <v>14863.64</v>
      </c>
      <c r="Q2" s="6">
        <v>16532.59</v>
      </c>
      <c r="R2">
        <v>3889.74</v>
      </c>
      <c r="S2">
        <v>20246.66</v>
      </c>
      <c r="T2">
        <v>1711.44</v>
      </c>
      <c r="U2">
        <v>3501.96</v>
      </c>
      <c r="V2">
        <v>14123.15</v>
      </c>
      <c r="W2">
        <v>1492.47</v>
      </c>
      <c r="X2">
        <v>793.18</v>
      </c>
      <c r="Y2">
        <v>1398.45</v>
      </c>
      <c r="Z2">
        <v>18531.02</v>
      </c>
      <c r="AA2">
        <v>27939</v>
      </c>
      <c r="AB2">
        <v>7110.59</v>
      </c>
      <c r="AC2">
        <v>1415.82</v>
      </c>
      <c r="AD2">
        <v>2764.27</v>
      </c>
      <c r="AE2">
        <v>1597.15</v>
      </c>
      <c r="AF2">
        <v>2710.6</v>
      </c>
      <c r="AG2">
        <v>1359.48</v>
      </c>
      <c r="AH2">
        <v>4311.63</v>
      </c>
      <c r="AI2">
        <v>2650.4</v>
      </c>
      <c r="AJ2">
        <v>1393.25</v>
      </c>
      <c r="AK2">
        <v>5888.71</v>
      </c>
      <c r="AL2" s="6">
        <v>26469.52</v>
      </c>
      <c r="AM2">
        <v>7290.35</v>
      </c>
      <c r="AN2">
        <v>14905.27</v>
      </c>
      <c r="AO2">
        <v>6531.47</v>
      </c>
      <c r="AP2">
        <v>3400.02</v>
      </c>
      <c r="AQ2">
        <v>19504.23</v>
      </c>
      <c r="AR2">
        <v>2979.29</v>
      </c>
      <c r="AS2">
        <v>5435.6</v>
      </c>
      <c r="AT2">
        <v>4693.92</v>
      </c>
      <c r="AU2" s="6">
        <v>1079.49</v>
      </c>
      <c r="AV2">
        <v>10763.33</v>
      </c>
      <c r="AW2">
        <v>622.28</v>
      </c>
      <c r="AX2">
        <v>14941.59</v>
      </c>
      <c r="AY2">
        <v>3395.01</v>
      </c>
      <c r="AZ2">
        <v>16375.96</v>
      </c>
      <c r="BA2">
        <v>5475.54</v>
      </c>
      <c r="BB2">
        <v>15025.77</v>
      </c>
      <c r="BC2">
        <v>4242.51</v>
      </c>
      <c r="BD2">
        <v>2542.2600000000002</v>
      </c>
      <c r="BE2">
        <v>2839.9</v>
      </c>
      <c r="BF2">
        <v>1401.15</v>
      </c>
      <c r="BG2">
        <v>1519.35</v>
      </c>
      <c r="BH2">
        <v>10390.52</v>
      </c>
      <c r="BI2">
        <v>1751.14</v>
      </c>
      <c r="BJ2">
        <v>3036.2</v>
      </c>
      <c r="BK2">
        <v>7714.16</v>
      </c>
      <c r="BL2">
        <v>2247.7800000000002</v>
      </c>
      <c r="BM2">
        <v>1148.69</v>
      </c>
      <c r="BN2">
        <v>5537.74</v>
      </c>
      <c r="BO2">
        <v>988.8</v>
      </c>
      <c r="BP2">
        <v>1275.22</v>
      </c>
      <c r="BQ2">
        <v>9358.11</v>
      </c>
      <c r="BR2">
        <v>3762.44</v>
      </c>
      <c r="BS2">
        <v>3315.96</v>
      </c>
      <c r="BT2">
        <v>16029.73</v>
      </c>
      <c r="BU2">
        <v>13481.05</v>
      </c>
      <c r="BV2">
        <v>12622.16</v>
      </c>
      <c r="BW2">
        <v>6575.89</v>
      </c>
      <c r="BX2">
        <v>2823.81</v>
      </c>
      <c r="BY2">
        <v>12912.31</v>
      </c>
      <c r="BZ2">
        <v>1840.5</v>
      </c>
      <c r="CA2">
        <v>1661.37</v>
      </c>
      <c r="CB2">
        <v>2945.64</v>
      </c>
      <c r="CC2">
        <v>1985.9</v>
      </c>
      <c r="CD2">
        <v>31851.53</v>
      </c>
      <c r="CE2">
        <v>663.11</v>
      </c>
      <c r="CF2">
        <v>6005.07</v>
      </c>
      <c r="CG2">
        <v>2540.41</v>
      </c>
      <c r="CH2">
        <v>2950.62</v>
      </c>
      <c r="CI2">
        <v>3005.94</v>
      </c>
      <c r="CJ2">
        <v>1133.3499999999999</v>
      </c>
      <c r="CK2">
        <v>25419.59</v>
      </c>
      <c r="CL2">
        <v>2105.19</v>
      </c>
      <c r="CM2">
        <v>1759.53</v>
      </c>
      <c r="CN2">
        <v>1563.97</v>
      </c>
      <c r="CO2">
        <v>8093.22</v>
      </c>
      <c r="CP2">
        <v>600.70000000000005</v>
      </c>
      <c r="CQ2">
        <v>3610.76</v>
      </c>
      <c r="CR2">
        <v>753.45</v>
      </c>
      <c r="CS2">
        <v>1221.94</v>
      </c>
      <c r="CT2">
        <v>643.39</v>
      </c>
      <c r="CU2">
        <v>2404.89</v>
      </c>
      <c r="CV2">
        <v>7968.86</v>
      </c>
      <c r="CW2">
        <v>4485.5200000000004</v>
      </c>
      <c r="CX2">
        <v>1115.94</v>
      </c>
      <c r="CY2">
        <v>3256.32</v>
      </c>
      <c r="CZ2">
        <v>6057.17</v>
      </c>
      <c r="DA2">
        <v>1373.59</v>
      </c>
      <c r="DB2">
        <v>4532.67</v>
      </c>
      <c r="DC2">
        <v>6483.8</v>
      </c>
      <c r="DD2">
        <v>17929.650000000001</v>
      </c>
      <c r="DE2">
        <v>16600.61</v>
      </c>
      <c r="DF2">
        <v>762.88</v>
      </c>
      <c r="DG2">
        <v>15804.54</v>
      </c>
      <c r="DH2">
        <v>11265.57</v>
      </c>
      <c r="DI2">
        <v>1801.21</v>
      </c>
      <c r="DJ2">
        <v>5138.3599999999997</v>
      </c>
      <c r="DK2">
        <v>3643.05</v>
      </c>
      <c r="DL2">
        <v>2286.36</v>
      </c>
      <c r="DM2">
        <v>5284.22</v>
      </c>
      <c r="DN2">
        <v>7743</v>
      </c>
      <c r="DO2">
        <v>2005.63</v>
      </c>
      <c r="DP2">
        <v>1436.77</v>
      </c>
      <c r="DQ2">
        <v>2794.8</v>
      </c>
      <c r="DR2">
        <v>997.63</v>
      </c>
      <c r="DS2" s="6">
        <v>18625.150000000001</v>
      </c>
      <c r="DT2">
        <v>1436.01</v>
      </c>
      <c r="DU2">
        <v>2211.52</v>
      </c>
      <c r="DV2">
        <v>5797.15</v>
      </c>
      <c r="DW2">
        <v>1289.28</v>
      </c>
      <c r="DX2">
        <v>2517</v>
      </c>
      <c r="DY2">
        <v>1831.66</v>
      </c>
      <c r="DZ2">
        <v>4540.8</v>
      </c>
      <c r="EA2">
        <v>19345.96</v>
      </c>
      <c r="EB2">
        <v>2406.4299999999998</v>
      </c>
      <c r="EC2">
        <v>7280.79</v>
      </c>
      <c r="ED2">
        <v>3196.97</v>
      </c>
      <c r="EE2">
        <v>3278.26</v>
      </c>
      <c r="EF2">
        <v>1295.58</v>
      </c>
      <c r="EG2">
        <v>1689.56</v>
      </c>
      <c r="EH2">
        <v>2228.83</v>
      </c>
      <c r="EI2">
        <v>10295.56</v>
      </c>
      <c r="EJ2">
        <v>2530.0300000000002</v>
      </c>
      <c r="EK2">
        <v>6671.9</v>
      </c>
      <c r="EL2">
        <v>4707.97</v>
      </c>
      <c r="EM2">
        <v>1775.57</v>
      </c>
      <c r="EN2">
        <v>1044.79</v>
      </c>
      <c r="EO2">
        <v>7791.91</v>
      </c>
      <c r="EP2">
        <v>23473.16</v>
      </c>
      <c r="EQ2">
        <v>3033.5</v>
      </c>
      <c r="ER2">
        <v>8681.34</v>
      </c>
      <c r="ES2">
        <v>5461.92</v>
      </c>
      <c r="ET2">
        <v>785</v>
      </c>
      <c r="EU2">
        <v>7706.42</v>
      </c>
      <c r="EV2">
        <v>3558.38</v>
      </c>
      <c r="EW2">
        <v>2469.71</v>
      </c>
    </row>
    <row r="3" spans="1:153" x14ac:dyDescent="0.35">
      <c r="A3">
        <v>1971</v>
      </c>
      <c r="B3">
        <v>6405.98</v>
      </c>
      <c r="C3">
        <v>4055.18</v>
      </c>
      <c r="D3">
        <v>8710.0300000000007</v>
      </c>
      <c r="E3">
        <v>2917.56</v>
      </c>
      <c r="F3">
        <v>3742.27</v>
      </c>
      <c r="G3">
        <v>4447.6099999999997</v>
      </c>
      <c r="H3">
        <v>19703.8</v>
      </c>
      <c r="I3">
        <v>14321.32</v>
      </c>
      <c r="J3">
        <v>760.05</v>
      </c>
      <c r="K3">
        <v>16467.73</v>
      </c>
      <c r="L3">
        <v>1899.68</v>
      </c>
      <c r="M3">
        <v>727.04</v>
      </c>
      <c r="N3">
        <v>1453.25</v>
      </c>
      <c r="O3">
        <v>3967.77</v>
      </c>
      <c r="P3">
        <v>14566.58</v>
      </c>
      <c r="Q3" s="6">
        <v>16212.69</v>
      </c>
      <c r="R3">
        <v>4130.9399999999996</v>
      </c>
      <c r="S3">
        <v>20721.46</v>
      </c>
      <c r="T3">
        <v>1772.84</v>
      </c>
      <c r="U3">
        <v>3809.55</v>
      </c>
      <c r="V3">
        <v>14685.5</v>
      </c>
      <c r="W3">
        <v>1482.92</v>
      </c>
      <c r="X3">
        <v>961.59</v>
      </c>
      <c r="Y3">
        <v>1328.27</v>
      </c>
      <c r="Z3">
        <v>19169.28</v>
      </c>
      <c r="AA3">
        <v>29087.31</v>
      </c>
      <c r="AB3">
        <v>7711.81</v>
      </c>
      <c r="AC3">
        <v>1484.25</v>
      </c>
      <c r="AD3">
        <v>2627.32</v>
      </c>
      <c r="AE3">
        <v>1556.85</v>
      </c>
      <c r="AF3">
        <v>2553.2600000000002</v>
      </c>
      <c r="AG3">
        <v>1404.12</v>
      </c>
      <c r="AH3">
        <v>4629.25</v>
      </c>
      <c r="AI3">
        <v>2706.86</v>
      </c>
      <c r="AJ3">
        <v>1450.92</v>
      </c>
      <c r="AK3">
        <v>5908.73</v>
      </c>
      <c r="AL3" s="6">
        <v>26062.13</v>
      </c>
      <c r="AM3">
        <v>7866.66</v>
      </c>
      <c r="AN3">
        <v>15406.4</v>
      </c>
      <c r="AO3">
        <v>6540.66</v>
      </c>
      <c r="AP3">
        <v>3529.26</v>
      </c>
      <c r="AQ3">
        <v>19836.68</v>
      </c>
      <c r="AR3">
        <v>3166.95</v>
      </c>
      <c r="AS3">
        <v>5140.1400000000003</v>
      </c>
      <c r="AT3">
        <v>4803.5200000000004</v>
      </c>
      <c r="AU3" s="6">
        <v>1075.69</v>
      </c>
      <c r="AV3">
        <v>11194.71</v>
      </c>
      <c r="AW3">
        <v>629.29999999999995</v>
      </c>
      <c r="AX3">
        <v>15111.42</v>
      </c>
      <c r="AY3">
        <v>3560.67</v>
      </c>
      <c r="AZ3">
        <v>17203.599999999999</v>
      </c>
      <c r="BA3">
        <v>6008.8</v>
      </c>
      <c r="BB3">
        <v>15244.37</v>
      </c>
      <c r="BC3">
        <v>4225.3599999999997</v>
      </c>
      <c r="BD3">
        <v>2652.86</v>
      </c>
      <c r="BE3">
        <v>2750.53</v>
      </c>
      <c r="BF3">
        <v>1327.83</v>
      </c>
      <c r="BG3">
        <v>1709.31</v>
      </c>
      <c r="BH3">
        <v>11127.77</v>
      </c>
      <c r="BI3">
        <v>1877.39</v>
      </c>
      <c r="BJ3">
        <v>3047.82</v>
      </c>
      <c r="BK3">
        <v>8358.68</v>
      </c>
      <c r="BL3">
        <v>2200.86</v>
      </c>
      <c r="BM3">
        <v>1147.31</v>
      </c>
      <c r="BN3">
        <v>5836.24</v>
      </c>
      <c r="BO3">
        <v>1030.8900000000001</v>
      </c>
      <c r="BP3">
        <v>1291.74</v>
      </c>
      <c r="BQ3">
        <v>9655.01</v>
      </c>
      <c r="BR3">
        <v>4216.63</v>
      </c>
      <c r="BS3">
        <v>3423.01</v>
      </c>
      <c r="BT3">
        <v>19344.73</v>
      </c>
      <c r="BU3">
        <v>14587.28</v>
      </c>
      <c r="BV3">
        <v>12822.98</v>
      </c>
      <c r="BW3">
        <v>6677.24</v>
      </c>
      <c r="BX3">
        <v>2685.84</v>
      </c>
      <c r="BY3">
        <v>13563.41</v>
      </c>
      <c r="BZ3">
        <v>1908.62</v>
      </c>
      <c r="CA3">
        <v>1547.45</v>
      </c>
      <c r="CB3">
        <v>3266.44</v>
      </c>
      <c r="CC3">
        <v>2267.71</v>
      </c>
      <c r="CD3">
        <v>37612.33</v>
      </c>
      <c r="CE3">
        <v>677.59</v>
      </c>
      <c r="CF3">
        <v>6393</v>
      </c>
      <c r="CG3">
        <v>2616.27</v>
      </c>
      <c r="CH3">
        <v>3082.66</v>
      </c>
      <c r="CI3">
        <v>2956.38</v>
      </c>
      <c r="CJ3">
        <v>994.37</v>
      </c>
      <c r="CK3">
        <v>24205.03</v>
      </c>
      <c r="CL3">
        <v>2184.56</v>
      </c>
      <c r="CM3">
        <v>1780.31</v>
      </c>
      <c r="CN3">
        <v>1585.01</v>
      </c>
      <c r="CO3">
        <v>8187.17</v>
      </c>
      <c r="CP3">
        <v>602.49</v>
      </c>
      <c r="CQ3">
        <v>3822.5</v>
      </c>
      <c r="CR3">
        <v>756.75</v>
      </c>
      <c r="CS3">
        <v>1242.4100000000001</v>
      </c>
      <c r="CT3">
        <v>676.24</v>
      </c>
      <c r="CU3">
        <v>2352.98</v>
      </c>
      <c r="CV3">
        <v>8148.08</v>
      </c>
      <c r="CW3">
        <v>4545.21</v>
      </c>
      <c r="CX3">
        <v>1230.57</v>
      </c>
      <c r="CY3">
        <v>3765</v>
      </c>
      <c r="CZ3">
        <v>6189.54</v>
      </c>
      <c r="DA3">
        <v>1386.85</v>
      </c>
      <c r="DB3">
        <v>4938.75</v>
      </c>
      <c r="DC3">
        <v>6530.15</v>
      </c>
      <c r="DD3">
        <v>18658.64</v>
      </c>
      <c r="DE3">
        <v>17411.05</v>
      </c>
      <c r="DF3">
        <v>734</v>
      </c>
      <c r="DG3">
        <v>16542.919999999998</v>
      </c>
      <c r="DH3">
        <v>7621.79</v>
      </c>
      <c r="DI3">
        <v>1792.18</v>
      </c>
      <c r="DJ3">
        <v>5583.17</v>
      </c>
      <c r="DK3">
        <v>3666.54</v>
      </c>
      <c r="DL3">
        <v>2344.91</v>
      </c>
      <c r="DM3">
        <v>5631.36</v>
      </c>
      <c r="DN3">
        <v>8301.31</v>
      </c>
      <c r="DO3">
        <v>2073.41</v>
      </c>
      <c r="DP3">
        <v>1613.79</v>
      </c>
      <c r="DQ3">
        <v>3125.43</v>
      </c>
      <c r="DR3">
        <v>977.17</v>
      </c>
      <c r="DS3" s="6">
        <v>21875.47</v>
      </c>
      <c r="DT3">
        <v>1476.05</v>
      </c>
      <c r="DU3">
        <v>2140.3000000000002</v>
      </c>
      <c r="DV3">
        <v>6467.87</v>
      </c>
      <c r="DW3">
        <v>1287.73</v>
      </c>
      <c r="DX3">
        <v>2478.64</v>
      </c>
      <c r="DY3">
        <v>1886.35</v>
      </c>
      <c r="DZ3">
        <v>4810.38</v>
      </c>
      <c r="EA3">
        <v>19322.86</v>
      </c>
      <c r="EB3">
        <v>2739.78</v>
      </c>
      <c r="EC3">
        <v>8230.5</v>
      </c>
      <c r="ED3">
        <v>3430.32</v>
      </c>
      <c r="EE3">
        <v>3549.53</v>
      </c>
      <c r="EF3">
        <v>1298.19</v>
      </c>
      <c r="EG3">
        <v>1726.65</v>
      </c>
      <c r="EH3">
        <v>2247.54</v>
      </c>
      <c r="EI3">
        <v>9906.4699999999993</v>
      </c>
      <c r="EJ3">
        <v>2691.59</v>
      </c>
      <c r="EK3">
        <v>6660.56</v>
      </c>
      <c r="EL3">
        <v>5247.18</v>
      </c>
      <c r="EM3">
        <v>1793.68</v>
      </c>
      <c r="EN3">
        <v>956.82</v>
      </c>
      <c r="EO3">
        <v>7825.8</v>
      </c>
      <c r="EP3">
        <v>24047.360000000001</v>
      </c>
      <c r="EQ3">
        <v>3103.28</v>
      </c>
      <c r="ER3">
        <v>8166.12</v>
      </c>
      <c r="ES3">
        <v>4716.78</v>
      </c>
      <c r="ET3">
        <v>795.46</v>
      </c>
      <c r="EU3">
        <v>7614.59</v>
      </c>
      <c r="EV3">
        <v>2786.39</v>
      </c>
      <c r="EW3">
        <v>2607.8000000000002</v>
      </c>
    </row>
    <row r="4" spans="1:153" x14ac:dyDescent="0.35">
      <c r="A4">
        <v>1972</v>
      </c>
      <c r="B4">
        <v>6940.91</v>
      </c>
      <c r="C4">
        <v>3968.92</v>
      </c>
      <c r="D4">
        <v>9644.24</v>
      </c>
      <c r="E4">
        <v>2965.37</v>
      </c>
      <c r="F4">
        <v>3767.19</v>
      </c>
      <c r="G4">
        <v>4705.76</v>
      </c>
      <c r="H4">
        <v>20324.8</v>
      </c>
      <c r="I4">
        <v>15187.65</v>
      </c>
      <c r="J4">
        <v>686.02</v>
      </c>
      <c r="K4">
        <v>17499.89</v>
      </c>
      <c r="L4">
        <v>1885.78</v>
      </c>
      <c r="M4">
        <v>841.48</v>
      </c>
      <c r="N4">
        <v>1351.31</v>
      </c>
      <c r="O4">
        <v>4245.8</v>
      </c>
      <c r="P4">
        <v>15408.64</v>
      </c>
      <c r="Q4" s="6">
        <v>15609.01</v>
      </c>
      <c r="R4">
        <v>3742.98</v>
      </c>
      <c r="S4">
        <v>20863.43</v>
      </c>
      <c r="T4">
        <v>1770.99</v>
      </c>
      <c r="U4">
        <v>4173.8100000000004</v>
      </c>
      <c r="V4">
        <v>14562.98</v>
      </c>
      <c r="W4">
        <v>1452.55</v>
      </c>
      <c r="X4">
        <v>1159.49</v>
      </c>
      <c r="Y4">
        <v>1270.3399999999999</v>
      </c>
      <c r="Z4">
        <v>19993.89</v>
      </c>
      <c r="AA4">
        <v>30024.87</v>
      </c>
      <c r="AB4">
        <v>7495.91</v>
      </c>
      <c r="AC4">
        <v>1466.05</v>
      </c>
      <c r="AD4">
        <v>2616.54</v>
      </c>
      <c r="AE4">
        <v>1595.97</v>
      </c>
      <c r="AF4">
        <v>2349.5300000000002</v>
      </c>
      <c r="AG4">
        <v>1422.17</v>
      </c>
      <c r="AH4">
        <v>5017.25</v>
      </c>
      <c r="AI4">
        <v>2711.99</v>
      </c>
      <c r="AJ4">
        <v>1481.15</v>
      </c>
      <c r="AK4">
        <v>6181.53</v>
      </c>
      <c r="AL4" s="6">
        <v>26631.4</v>
      </c>
      <c r="AM4">
        <v>8216.43</v>
      </c>
      <c r="AN4">
        <v>16142.21</v>
      </c>
      <c r="AO4">
        <v>6396.61</v>
      </c>
      <c r="AP4">
        <v>3886.65</v>
      </c>
      <c r="AQ4">
        <v>20614.95</v>
      </c>
      <c r="AR4">
        <v>3401.92</v>
      </c>
      <c r="AS4">
        <v>5670.52</v>
      </c>
      <c r="AT4">
        <v>4713.74</v>
      </c>
      <c r="AU4" s="6">
        <v>1118.8800000000001</v>
      </c>
      <c r="AV4">
        <v>12031.51</v>
      </c>
      <c r="AW4">
        <v>644.75</v>
      </c>
      <c r="AX4">
        <v>15979.86</v>
      </c>
      <c r="AY4">
        <v>3766.28</v>
      </c>
      <c r="AZ4">
        <v>18012.22</v>
      </c>
      <c r="BA4">
        <v>5717.63</v>
      </c>
      <c r="BB4">
        <v>15713.73</v>
      </c>
      <c r="BC4">
        <v>3520.87</v>
      </c>
      <c r="BD4">
        <v>2694</v>
      </c>
      <c r="BE4">
        <v>2720.77</v>
      </c>
      <c r="BF4">
        <v>1374.84</v>
      </c>
      <c r="BG4">
        <v>1693.04</v>
      </c>
      <c r="BH4">
        <v>12162.42</v>
      </c>
      <c r="BI4">
        <v>2054.39</v>
      </c>
      <c r="BJ4">
        <v>3152.72</v>
      </c>
      <c r="BK4">
        <v>9240.02</v>
      </c>
      <c r="BL4">
        <v>2281.75</v>
      </c>
      <c r="BM4">
        <v>1140.06</v>
      </c>
      <c r="BN4">
        <v>6117.63</v>
      </c>
      <c r="BO4">
        <v>1108.1500000000001</v>
      </c>
      <c r="BP4">
        <v>1297.8499999999999</v>
      </c>
      <c r="BQ4">
        <v>10434.57</v>
      </c>
      <c r="BR4">
        <v>4647.17</v>
      </c>
      <c r="BS4">
        <v>3220.34</v>
      </c>
      <c r="BT4">
        <v>19050.259999999998</v>
      </c>
      <c r="BU4">
        <v>15668.87</v>
      </c>
      <c r="BV4">
        <v>13404.2</v>
      </c>
      <c r="BW4">
        <v>7206.59</v>
      </c>
      <c r="BX4">
        <v>2730.8</v>
      </c>
      <c r="BY4">
        <v>14607.86</v>
      </c>
      <c r="BZ4">
        <v>1994.17</v>
      </c>
      <c r="CA4">
        <v>1431.37</v>
      </c>
      <c r="CB4">
        <v>3553.01</v>
      </c>
      <c r="CC4">
        <v>2549.0100000000002</v>
      </c>
      <c r="CD4">
        <v>37110.160000000003</v>
      </c>
      <c r="CE4">
        <v>681.72</v>
      </c>
      <c r="CF4">
        <v>6943.56</v>
      </c>
      <c r="CG4">
        <v>2552.17</v>
      </c>
      <c r="CH4">
        <v>3092.64</v>
      </c>
      <c r="CI4">
        <v>2977.84</v>
      </c>
      <c r="CJ4">
        <v>1175.58</v>
      </c>
      <c r="CK4">
        <v>25634.05</v>
      </c>
      <c r="CL4">
        <v>2192.7399999999998</v>
      </c>
      <c r="CM4">
        <v>1670.97</v>
      </c>
      <c r="CN4">
        <v>1556.04</v>
      </c>
      <c r="CO4">
        <v>8599.4599999999991</v>
      </c>
      <c r="CP4">
        <v>521.26</v>
      </c>
      <c r="CQ4">
        <v>4143.75</v>
      </c>
      <c r="CR4">
        <v>739.71</v>
      </c>
      <c r="CS4">
        <v>1249.22</v>
      </c>
      <c r="CT4">
        <v>693.54</v>
      </c>
      <c r="CU4">
        <v>2281.2600000000002</v>
      </c>
      <c r="CV4">
        <v>8343.4699999999993</v>
      </c>
      <c r="CW4">
        <v>4816.95</v>
      </c>
      <c r="CX4">
        <v>1315.5</v>
      </c>
      <c r="CY4">
        <v>3839.96</v>
      </c>
      <c r="CZ4">
        <v>6118.94</v>
      </c>
      <c r="DA4">
        <v>1316.71</v>
      </c>
      <c r="DB4">
        <v>5177.46</v>
      </c>
      <c r="DC4">
        <v>6417.31</v>
      </c>
      <c r="DD4">
        <v>19282.97</v>
      </c>
      <c r="DE4">
        <v>17892.349999999999</v>
      </c>
      <c r="DF4">
        <v>742.29</v>
      </c>
      <c r="DG4">
        <v>17634.84</v>
      </c>
      <c r="DH4">
        <v>6323.01</v>
      </c>
      <c r="DI4">
        <v>1796.68</v>
      </c>
      <c r="DJ4">
        <v>5767.54</v>
      </c>
      <c r="DK4">
        <v>3637.02</v>
      </c>
      <c r="DL4">
        <v>2383.13</v>
      </c>
      <c r="DM4">
        <v>5852.13</v>
      </c>
      <c r="DN4">
        <v>8928.33</v>
      </c>
      <c r="DO4">
        <v>2173.65</v>
      </c>
      <c r="DP4">
        <v>1841.6</v>
      </c>
      <c r="DQ4">
        <v>3429.58</v>
      </c>
      <c r="DR4">
        <v>984.22</v>
      </c>
      <c r="DS4" s="6">
        <v>24759.81</v>
      </c>
      <c r="DT4">
        <v>1290.24</v>
      </c>
      <c r="DU4">
        <v>2154.06</v>
      </c>
      <c r="DV4">
        <v>7205.02</v>
      </c>
      <c r="DW4">
        <v>1318.52</v>
      </c>
      <c r="DX4">
        <v>2575.69</v>
      </c>
      <c r="DY4">
        <v>1906.35</v>
      </c>
      <c r="DZ4">
        <v>4999.05</v>
      </c>
      <c r="EA4">
        <v>19636.37</v>
      </c>
      <c r="EB4">
        <v>3237.17</v>
      </c>
      <c r="EC4">
        <v>8543.75</v>
      </c>
      <c r="ED4">
        <v>4094.23</v>
      </c>
      <c r="EE4">
        <v>3817.43</v>
      </c>
      <c r="EF4">
        <v>1168.17</v>
      </c>
      <c r="EG4">
        <v>1706.59</v>
      </c>
      <c r="EH4">
        <v>2303.56</v>
      </c>
      <c r="EI4">
        <v>10711.22</v>
      </c>
      <c r="EJ4">
        <v>3104.63</v>
      </c>
      <c r="EK4">
        <v>7071.49</v>
      </c>
      <c r="EL4">
        <v>5925</v>
      </c>
      <c r="EM4">
        <v>1850.09</v>
      </c>
      <c r="EN4">
        <v>1083.17</v>
      </c>
      <c r="EO4">
        <v>7633.29</v>
      </c>
      <c r="EP4">
        <v>25132.89</v>
      </c>
      <c r="EQ4">
        <v>3767.92</v>
      </c>
      <c r="ER4">
        <v>8169.34</v>
      </c>
      <c r="ES4">
        <v>4576.4399999999996</v>
      </c>
      <c r="ET4">
        <v>792.47</v>
      </c>
      <c r="EU4">
        <v>7733.44</v>
      </c>
      <c r="EV4">
        <v>2922.81</v>
      </c>
      <c r="EW4">
        <v>2828.63</v>
      </c>
    </row>
    <row r="5" spans="1:153" x14ac:dyDescent="0.35">
      <c r="A5">
        <v>1973</v>
      </c>
      <c r="B5">
        <v>7521.43</v>
      </c>
      <c r="C5">
        <v>4181.8900000000003</v>
      </c>
      <c r="D5">
        <v>9966.27</v>
      </c>
      <c r="E5">
        <v>3014.07</v>
      </c>
      <c r="F5">
        <v>3910.49</v>
      </c>
      <c r="G5">
        <v>5020.8500000000004</v>
      </c>
      <c r="H5">
        <v>21106.32</v>
      </c>
      <c r="I5">
        <v>16015.04</v>
      </c>
      <c r="J5">
        <v>746.07</v>
      </c>
      <c r="K5">
        <v>18804.509999999998</v>
      </c>
      <c r="L5">
        <v>1973.15</v>
      </c>
      <c r="M5">
        <v>788</v>
      </c>
      <c r="N5">
        <v>1113.77</v>
      </c>
      <c r="O5">
        <v>4572.25</v>
      </c>
      <c r="P5">
        <v>17138.98</v>
      </c>
      <c r="Q5" s="6">
        <v>16224.37</v>
      </c>
      <c r="R5">
        <v>3960.6</v>
      </c>
      <c r="S5">
        <v>20945.14</v>
      </c>
      <c r="T5">
        <v>1837.36</v>
      </c>
      <c r="U5">
        <v>4665.51</v>
      </c>
      <c r="V5">
        <v>15150.2</v>
      </c>
      <c r="W5">
        <v>1429.48</v>
      </c>
      <c r="X5">
        <v>1371.13</v>
      </c>
      <c r="Y5">
        <v>1336.26</v>
      </c>
      <c r="Z5">
        <v>21386.38</v>
      </c>
      <c r="AA5">
        <v>30624.78</v>
      </c>
      <c r="AB5">
        <v>7146.1</v>
      </c>
      <c r="AC5">
        <v>1535.08</v>
      </c>
      <c r="AD5">
        <v>2727.72</v>
      </c>
      <c r="AE5">
        <v>1647.46</v>
      </c>
      <c r="AF5">
        <v>2601.85</v>
      </c>
      <c r="AG5">
        <v>1419.32</v>
      </c>
      <c r="AH5">
        <v>5473.38</v>
      </c>
      <c r="AI5">
        <v>2852.37</v>
      </c>
      <c r="AJ5">
        <v>1508.83</v>
      </c>
      <c r="AK5">
        <v>6458.07</v>
      </c>
      <c r="AL5" s="6">
        <v>28623.29</v>
      </c>
      <c r="AM5">
        <v>8039.21</v>
      </c>
      <c r="AN5">
        <v>16949.23</v>
      </c>
      <c r="AO5">
        <v>6304.75</v>
      </c>
      <c r="AP5">
        <v>4345.12</v>
      </c>
      <c r="AQ5">
        <v>21589.57</v>
      </c>
      <c r="AR5">
        <v>3674.61</v>
      </c>
      <c r="AS5">
        <v>6033.76</v>
      </c>
      <c r="AT5">
        <v>4961.29</v>
      </c>
      <c r="AU5" s="6">
        <v>1104.3499999999999</v>
      </c>
      <c r="AV5">
        <v>12796.74</v>
      </c>
      <c r="AW5">
        <v>647.88</v>
      </c>
      <c r="AX5">
        <v>17109.330000000002</v>
      </c>
      <c r="AY5">
        <v>4111.04</v>
      </c>
      <c r="AZ5">
        <v>19186.04</v>
      </c>
      <c r="BA5">
        <v>6466.75</v>
      </c>
      <c r="BB5">
        <v>16468.43</v>
      </c>
      <c r="BC5">
        <v>3890.95</v>
      </c>
      <c r="BD5">
        <v>2721.02</v>
      </c>
      <c r="BE5">
        <v>2871.9</v>
      </c>
      <c r="BF5">
        <v>1374.06</v>
      </c>
      <c r="BG5">
        <v>1800.65</v>
      </c>
      <c r="BH5">
        <v>13009.89</v>
      </c>
      <c r="BI5">
        <v>2180.5500000000002</v>
      </c>
      <c r="BJ5">
        <v>3274.83</v>
      </c>
      <c r="BK5">
        <v>10102.370000000001</v>
      </c>
      <c r="BL5">
        <v>2400.1999999999998</v>
      </c>
      <c r="BM5">
        <v>1195.6600000000001</v>
      </c>
      <c r="BN5">
        <v>6444.07</v>
      </c>
      <c r="BO5">
        <v>1242.6099999999999</v>
      </c>
      <c r="BP5">
        <v>1343.52</v>
      </c>
      <c r="BQ5">
        <v>11059.04</v>
      </c>
      <c r="BR5">
        <v>5493.14</v>
      </c>
      <c r="BS5">
        <v>3757.4</v>
      </c>
      <c r="BT5">
        <v>21519.14</v>
      </c>
      <c r="BU5">
        <v>16329.79</v>
      </c>
      <c r="BV5">
        <v>14226.57</v>
      </c>
      <c r="BW5">
        <v>7177.84</v>
      </c>
      <c r="BX5">
        <v>2510.58</v>
      </c>
      <c r="BY5">
        <v>15528.49</v>
      </c>
      <c r="BZ5">
        <v>1967.6</v>
      </c>
      <c r="CA5">
        <v>1137.97</v>
      </c>
      <c r="CB5">
        <v>3167.46</v>
      </c>
      <c r="CC5">
        <v>3061.09</v>
      </c>
      <c r="CD5">
        <v>35539.96</v>
      </c>
      <c r="CE5">
        <v>721.98</v>
      </c>
      <c r="CF5">
        <v>7222.82</v>
      </c>
      <c r="CG5">
        <v>2684.04</v>
      </c>
      <c r="CH5">
        <v>3160.41</v>
      </c>
      <c r="CI5">
        <v>3124.36</v>
      </c>
      <c r="CJ5">
        <v>1424.2</v>
      </c>
      <c r="CK5">
        <v>28927.65</v>
      </c>
      <c r="CL5">
        <v>2218.85</v>
      </c>
      <c r="CM5">
        <v>1595.63</v>
      </c>
      <c r="CN5">
        <v>1521.14</v>
      </c>
      <c r="CO5">
        <v>9015.7000000000007</v>
      </c>
      <c r="CP5">
        <v>523.04999999999995</v>
      </c>
      <c r="CQ5">
        <v>4427.28</v>
      </c>
      <c r="CR5">
        <v>743.86</v>
      </c>
      <c r="CS5">
        <v>1320.67</v>
      </c>
      <c r="CT5">
        <v>709.41</v>
      </c>
      <c r="CU5">
        <v>2225.58</v>
      </c>
      <c r="CV5">
        <v>8462.34</v>
      </c>
      <c r="CW5">
        <v>4908.3999999999996</v>
      </c>
      <c r="CX5">
        <v>1232.6600000000001</v>
      </c>
      <c r="CY5">
        <v>4511.47</v>
      </c>
      <c r="CZ5">
        <v>6160.7</v>
      </c>
      <c r="DA5">
        <v>1104.1300000000001</v>
      </c>
      <c r="DB5">
        <v>5757.14</v>
      </c>
      <c r="DC5">
        <v>6755.99</v>
      </c>
      <c r="DD5">
        <v>20423.5</v>
      </c>
      <c r="DE5">
        <v>18858.32</v>
      </c>
      <c r="DF5">
        <v>719.13</v>
      </c>
      <c r="DG5">
        <v>18991.63</v>
      </c>
      <c r="DH5">
        <v>5051.38</v>
      </c>
      <c r="DI5">
        <v>1844.22</v>
      </c>
      <c r="DJ5">
        <v>5844.21</v>
      </c>
      <c r="DK5">
        <v>3911.67</v>
      </c>
      <c r="DL5">
        <v>2591.39</v>
      </c>
      <c r="DM5">
        <v>6053.18</v>
      </c>
      <c r="DN5">
        <v>9769.06</v>
      </c>
      <c r="DO5">
        <v>2292.04</v>
      </c>
      <c r="DP5">
        <v>1706.69</v>
      </c>
      <c r="DQ5">
        <v>3728.13</v>
      </c>
      <c r="DR5">
        <v>994.92</v>
      </c>
      <c r="DS5" s="6">
        <v>27344.5</v>
      </c>
      <c r="DT5">
        <v>1155.23</v>
      </c>
      <c r="DU5">
        <v>1967.65</v>
      </c>
      <c r="DV5">
        <v>7814.78</v>
      </c>
      <c r="DW5">
        <v>1335.17</v>
      </c>
      <c r="DX5">
        <v>2696.61</v>
      </c>
      <c r="DY5">
        <v>1949.93</v>
      </c>
      <c r="DZ5">
        <v>5299.93</v>
      </c>
      <c r="EA5">
        <v>20304.12</v>
      </c>
      <c r="EB5">
        <v>3093.7</v>
      </c>
      <c r="EC5">
        <v>8996.83</v>
      </c>
      <c r="ED5">
        <v>3605.29</v>
      </c>
      <c r="EE5">
        <v>4084.3</v>
      </c>
      <c r="EF5">
        <v>1058.71</v>
      </c>
      <c r="EG5">
        <v>1644.26</v>
      </c>
      <c r="EH5">
        <v>2502.15</v>
      </c>
      <c r="EI5">
        <v>11620.28</v>
      </c>
      <c r="EJ5">
        <v>3057.96</v>
      </c>
      <c r="EK5">
        <v>7320.86</v>
      </c>
      <c r="EL5">
        <v>6456.52</v>
      </c>
      <c r="EM5">
        <v>1911.54</v>
      </c>
      <c r="EN5">
        <v>1104.56</v>
      </c>
      <c r="EO5">
        <v>7920.74</v>
      </c>
      <c r="EP5">
        <v>26366.1</v>
      </c>
      <c r="EQ5">
        <v>3445.57</v>
      </c>
      <c r="ER5">
        <v>8932.83</v>
      </c>
      <c r="ES5">
        <v>4761.2299999999996</v>
      </c>
      <c r="ET5">
        <v>764.12</v>
      </c>
      <c r="EU5">
        <v>8629.7000000000007</v>
      </c>
      <c r="EV5">
        <v>3134.24</v>
      </c>
      <c r="EW5">
        <v>2863.31</v>
      </c>
    </row>
    <row r="6" spans="1:153" x14ac:dyDescent="0.35">
      <c r="A6">
        <v>1974</v>
      </c>
      <c r="B6">
        <v>8140.38</v>
      </c>
      <c r="C6">
        <v>4196.3100000000004</v>
      </c>
      <c r="D6">
        <v>9884.4500000000007</v>
      </c>
      <c r="E6">
        <v>3065.37</v>
      </c>
      <c r="F6">
        <v>4022.25</v>
      </c>
      <c r="G6">
        <v>5192.34</v>
      </c>
      <c r="H6">
        <v>19993.36</v>
      </c>
      <c r="I6">
        <v>16320.04</v>
      </c>
      <c r="J6">
        <v>724.82</v>
      </c>
      <c r="K6">
        <v>19411.97</v>
      </c>
      <c r="L6">
        <v>1965.71</v>
      </c>
      <c r="M6">
        <v>819.91</v>
      </c>
      <c r="N6">
        <v>1099.69</v>
      </c>
      <c r="O6">
        <v>4887.3100000000004</v>
      </c>
      <c r="P6">
        <v>17466.14</v>
      </c>
      <c r="Q6" s="6">
        <v>12803.84</v>
      </c>
      <c r="R6">
        <v>4695.8100000000004</v>
      </c>
      <c r="S6">
        <v>20931.57</v>
      </c>
      <c r="T6">
        <v>2086.73</v>
      </c>
      <c r="U6">
        <v>4822.9799999999996</v>
      </c>
      <c r="V6">
        <v>14254.63</v>
      </c>
      <c r="W6">
        <v>1450.99</v>
      </c>
      <c r="X6">
        <v>1450.56</v>
      </c>
      <c r="Y6">
        <v>1201.94</v>
      </c>
      <c r="Z6">
        <v>22300.52</v>
      </c>
      <c r="AA6">
        <v>30534.79</v>
      </c>
      <c r="AB6">
        <v>6871.98</v>
      </c>
      <c r="AC6">
        <v>1547.83</v>
      </c>
      <c r="AD6">
        <v>2882.69</v>
      </c>
      <c r="AE6">
        <v>1609.11</v>
      </c>
      <c r="AF6">
        <v>2713.67</v>
      </c>
      <c r="AG6">
        <v>1724.36</v>
      </c>
      <c r="AH6">
        <v>5735.94</v>
      </c>
      <c r="AI6">
        <v>2858.55</v>
      </c>
      <c r="AJ6">
        <v>1539.46</v>
      </c>
      <c r="AK6">
        <v>6159.16</v>
      </c>
      <c r="AL6" s="6">
        <v>29509.69</v>
      </c>
      <c r="AM6">
        <v>7219.89</v>
      </c>
      <c r="AN6">
        <v>16957.84</v>
      </c>
      <c r="AO6">
        <v>5654.28</v>
      </c>
      <c r="AP6">
        <v>4361.49</v>
      </c>
      <c r="AQ6">
        <v>20561.900000000001</v>
      </c>
      <c r="AR6">
        <v>3951.81</v>
      </c>
      <c r="AS6">
        <v>8352.74</v>
      </c>
      <c r="AT6">
        <v>5957.41</v>
      </c>
      <c r="AU6" s="6">
        <v>1194.05</v>
      </c>
      <c r="AV6">
        <v>12967.01</v>
      </c>
      <c r="AW6">
        <v>642.24</v>
      </c>
      <c r="AX6">
        <v>17594.939999999999</v>
      </c>
      <c r="AY6">
        <v>4378.62</v>
      </c>
      <c r="AZ6">
        <v>19454.07</v>
      </c>
      <c r="BA6">
        <v>8524.11</v>
      </c>
      <c r="BB6">
        <v>15393.62</v>
      </c>
      <c r="BC6">
        <v>4210.5</v>
      </c>
      <c r="BD6">
        <v>2847.89</v>
      </c>
      <c r="BE6">
        <v>2962.37</v>
      </c>
      <c r="BF6">
        <v>1406.57</v>
      </c>
      <c r="BG6">
        <v>1912.44</v>
      </c>
      <c r="BH6">
        <v>11893.87</v>
      </c>
      <c r="BI6">
        <v>2354.1999999999998</v>
      </c>
      <c r="BJ6">
        <v>3272.02</v>
      </c>
      <c r="BK6">
        <v>9708.33</v>
      </c>
      <c r="BL6">
        <v>2214.48</v>
      </c>
      <c r="BM6">
        <v>1269.18</v>
      </c>
      <c r="BN6">
        <v>6460.1</v>
      </c>
      <c r="BO6">
        <v>1442.86</v>
      </c>
      <c r="BP6">
        <v>1282.6199999999999</v>
      </c>
      <c r="BQ6">
        <v>10318.549999999999</v>
      </c>
      <c r="BR6">
        <v>7843</v>
      </c>
      <c r="BS6">
        <v>4082.24</v>
      </c>
      <c r="BT6">
        <v>22657.95</v>
      </c>
      <c r="BU6">
        <v>16511.45</v>
      </c>
      <c r="BV6">
        <v>14758.29</v>
      </c>
      <c r="BW6">
        <v>6827.86</v>
      </c>
      <c r="BX6">
        <v>2445.09</v>
      </c>
      <c r="BY6">
        <v>14875.43</v>
      </c>
      <c r="BZ6">
        <v>2054.0300000000002</v>
      </c>
      <c r="CA6">
        <v>1066.31</v>
      </c>
      <c r="CB6">
        <v>4189.3900000000003</v>
      </c>
      <c r="CC6">
        <v>3416.46</v>
      </c>
      <c r="CD6">
        <v>70104.600000000006</v>
      </c>
      <c r="CE6">
        <v>729.56</v>
      </c>
      <c r="CF6">
        <v>7194.04</v>
      </c>
      <c r="CG6">
        <v>2630.95</v>
      </c>
      <c r="CH6">
        <v>3349.66</v>
      </c>
      <c r="CI6">
        <v>3128.84</v>
      </c>
      <c r="CJ6">
        <v>1382.93</v>
      </c>
      <c r="CK6">
        <v>31697.8</v>
      </c>
      <c r="CL6">
        <v>2394.85</v>
      </c>
      <c r="CM6">
        <v>1528.34</v>
      </c>
      <c r="CN6">
        <v>1581.73</v>
      </c>
      <c r="CO6">
        <v>9313.4500000000007</v>
      </c>
      <c r="CP6">
        <v>489.47</v>
      </c>
      <c r="CQ6">
        <v>4483.3999999999996</v>
      </c>
      <c r="CR6">
        <v>760.65</v>
      </c>
      <c r="CS6">
        <v>1337.38</v>
      </c>
      <c r="CT6">
        <v>734.46</v>
      </c>
      <c r="CU6">
        <v>2310.91</v>
      </c>
      <c r="CV6">
        <v>8749.2000000000007</v>
      </c>
      <c r="CW6">
        <v>5200.88</v>
      </c>
      <c r="CX6">
        <v>1271.6400000000001</v>
      </c>
      <c r="CY6">
        <v>4817.29</v>
      </c>
      <c r="CZ6">
        <v>6426.8</v>
      </c>
      <c r="DA6">
        <v>1203.28</v>
      </c>
      <c r="DB6">
        <v>6562.21</v>
      </c>
      <c r="DC6">
        <v>7392.3</v>
      </c>
      <c r="DD6">
        <v>21637.47</v>
      </c>
      <c r="DE6">
        <v>19318.16</v>
      </c>
      <c r="DF6">
        <v>749.76</v>
      </c>
      <c r="DG6">
        <v>18268.88</v>
      </c>
      <c r="DH6">
        <v>7337.97</v>
      </c>
      <c r="DI6">
        <v>1837.13</v>
      </c>
      <c r="DJ6">
        <v>5640.03</v>
      </c>
      <c r="DK6">
        <v>4108.99</v>
      </c>
      <c r="DL6">
        <v>2590.92</v>
      </c>
      <c r="DM6">
        <v>6432.57</v>
      </c>
      <c r="DN6">
        <v>9519.4699999999993</v>
      </c>
      <c r="DO6">
        <v>2363.04</v>
      </c>
      <c r="DP6">
        <v>2006.08</v>
      </c>
      <c r="DQ6">
        <v>4112.8999999999996</v>
      </c>
      <c r="DR6">
        <v>983.81</v>
      </c>
      <c r="DS6" s="6">
        <v>41703.01</v>
      </c>
      <c r="DT6">
        <v>1328.33</v>
      </c>
      <c r="DU6">
        <v>2109.56</v>
      </c>
      <c r="DV6">
        <v>8352.0300000000007</v>
      </c>
      <c r="DW6">
        <v>1333.19</v>
      </c>
      <c r="DX6">
        <v>2604</v>
      </c>
      <c r="DY6">
        <v>2021.09</v>
      </c>
      <c r="DZ6">
        <v>4864.6899999999996</v>
      </c>
      <c r="EA6">
        <v>20502.150000000001</v>
      </c>
      <c r="EB6">
        <v>3071.7</v>
      </c>
      <c r="EC6">
        <v>8955.44</v>
      </c>
      <c r="ED6">
        <v>4463.68</v>
      </c>
      <c r="EE6">
        <v>4359.2299999999996</v>
      </c>
      <c r="EF6">
        <v>1190.21</v>
      </c>
      <c r="EG6">
        <v>2093.0500000000002</v>
      </c>
      <c r="EH6">
        <v>2475.6</v>
      </c>
      <c r="EI6">
        <v>15539.83</v>
      </c>
      <c r="EJ6">
        <v>3371.77</v>
      </c>
      <c r="EK6">
        <v>7967.04</v>
      </c>
      <c r="EL6">
        <v>6043.56</v>
      </c>
      <c r="EM6">
        <v>1912.88</v>
      </c>
      <c r="EN6">
        <v>1000.2</v>
      </c>
      <c r="EO6">
        <v>7725.63</v>
      </c>
      <c r="EP6">
        <v>25638.65</v>
      </c>
      <c r="EQ6">
        <v>3098.95</v>
      </c>
      <c r="ER6">
        <v>9507.39</v>
      </c>
      <c r="ES6">
        <v>5104.67</v>
      </c>
      <c r="ET6">
        <v>765.45</v>
      </c>
      <c r="EU6">
        <v>8927.9599999999991</v>
      </c>
      <c r="EV6">
        <v>2903.49</v>
      </c>
      <c r="EW6">
        <v>3046.71</v>
      </c>
    </row>
    <row r="7" spans="1:153" x14ac:dyDescent="0.35">
      <c r="A7">
        <v>1975</v>
      </c>
      <c r="B7">
        <v>8838.01</v>
      </c>
      <c r="C7">
        <v>3876.91</v>
      </c>
      <c r="D7">
        <v>10163.15</v>
      </c>
      <c r="E7">
        <v>3119.23</v>
      </c>
      <c r="F7">
        <v>3914.19</v>
      </c>
      <c r="G7">
        <v>4833.1899999999996</v>
      </c>
      <c r="H7">
        <v>19823.13</v>
      </c>
      <c r="I7">
        <v>16383.48</v>
      </c>
      <c r="J7">
        <v>694.97</v>
      </c>
      <c r="K7">
        <v>18956.05</v>
      </c>
      <c r="L7">
        <v>1656.81</v>
      </c>
      <c r="M7">
        <v>807.45</v>
      </c>
      <c r="N7">
        <v>1034.18</v>
      </c>
      <c r="O7">
        <v>5290.48</v>
      </c>
      <c r="P7">
        <v>14320.9</v>
      </c>
      <c r="Q7" s="6">
        <v>11956.36</v>
      </c>
      <c r="R7">
        <v>4448.33</v>
      </c>
      <c r="S7">
        <v>21517.57</v>
      </c>
      <c r="T7">
        <v>1989.4</v>
      </c>
      <c r="U7">
        <v>4941.0600000000004</v>
      </c>
      <c r="V7">
        <v>15585.45</v>
      </c>
      <c r="W7">
        <v>1355.56</v>
      </c>
      <c r="X7">
        <v>1524.41</v>
      </c>
      <c r="Y7">
        <v>1139.4000000000001</v>
      </c>
      <c r="Z7">
        <v>22182.99</v>
      </c>
      <c r="AA7">
        <v>28195.68</v>
      </c>
      <c r="AB7">
        <v>5411.84</v>
      </c>
      <c r="AC7">
        <v>1589.56</v>
      </c>
      <c r="AD7">
        <v>2710.26</v>
      </c>
      <c r="AE7">
        <v>1600.34</v>
      </c>
      <c r="AF7">
        <v>2041.26</v>
      </c>
      <c r="AG7">
        <v>1626.12</v>
      </c>
      <c r="AH7">
        <v>5943.86</v>
      </c>
      <c r="AI7">
        <v>2948.28</v>
      </c>
      <c r="AJ7">
        <v>1276.68</v>
      </c>
      <c r="AK7">
        <v>6393.67</v>
      </c>
      <c r="AL7" s="6">
        <v>30439.64</v>
      </c>
      <c r="AM7">
        <v>5965.89</v>
      </c>
      <c r="AN7">
        <v>17048.53</v>
      </c>
      <c r="AO7">
        <v>5782.77</v>
      </c>
      <c r="AP7">
        <v>4482.7</v>
      </c>
      <c r="AQ7">
        <v>20238.34</v>
      </c>
      <c r="AR7">
        <v>4252.38</v>
      </c>
      <c r="AS7">
        <v>7785.37</v>
      </c>
      <c r="AT7">
        <v>6273.85</v>
      </c>
      <c r="AU7" s="6">
        <v>1214.05</v>
      </c>
      <c r="AV7">
        <v>12989.76</v>
      </c>
      <c r="AW7">
        <v>642.37</v>
      </c>
      <c r="AX7">
        <v>17428.98</v>
      </c>
      <c r="AY7">
        <v>4707.8599999999997</v>
      </c>
      <c r="AZ7">
        <v>19353.23</v>
      </c>
      <c r="BA7">
        <v>8451.07</v>
      </c>
      <c r="BB7">
        <v>15322.79</v>
      </c>
      <c r="BC7">
        <v>3692.21</v>
      </c>
      <c r="BD7">
        <v>2927.61</v>
      </c>
      <c r="BE7">
        <v>3042.91</v>
      </c>
      <c r="BF7">
        <v>1502.38</v>
      </c>
      <c r="BG7">
        <v>2283.4499999999998</v>
      </c>
      <c r="BH7">
        <v>12307.01</v>
      </c>
      <c r="BI7">
        <v>2606.0700000000002</v>
      </c>
      <c r="BJ7">
        <v>3270.76</v>
      </c>
      <c r="BK7">
        <v>9925.9</v>
      </c>
      <c r="BL7">
        <v>2182.86</v>
      </c>
      <c r="BM7">
        <v>1264.94</v>
      </c>
      <c r="BN7">
        <v>6594.07</v>
      </c>
      <c r="BO7">
        <v>1437.76</v>
      </c>
      <c r="BP7">
        <v>1382.06</v>
      </c>
      <c r="BQ7">
        <v>10513.17</v>
      </c>
      <c r="BR7">
        <v>7824.08</v>
      </c>
      <c r="BS7">
        <v>4526.92</v>
      </c>
      <c r="BT7">
        <v>21356.94</v>
      </c>
      <c r="BU7">
        <v>16405.47</v>
      </c>
      <c r="BV7">
        <v>14526.56</v>
      </c>
      <c r="BW7">
        <v>6914.77</v>
      </c>
      <c r="BX7">
        <v>2275.71</v>
      </c>
      <c r="BY7">
        <v>15199.01</v>
      </c>
      <c r="BZ7">
        <v>1939.65</v>
      </c>
      <c r="CA7">
        <v>1053.5</v>
      </c>
      <c r="CB7">
        <v>4454.1400000000003</v>
      </c>
      <c r="CC7">
        <v>3831.56</v>
      </c>
      <c r="CD7">
        <v>56937.73</v>
      </c>
      <c r="CE7">
        <v>762.38</v>
      </c>
      <c r="CF7">
        <v>4899.71</v>
      </c>
      <c r="CG7">
        <v>2468.5300000000002</v>
      </c>
      <c r="CH7">
        <v>3227.27</v>
      </c>
      <c r="CI7">
        <v>2965.63</v>
      </c>
      <c r="CJ7">
        <v>1332.07</v>
      </c>
      <c r="CK7">
        <v>26165.56</v>
      </c>
      <c r="CL7">
        <v>2427.4699999999998</v>
      </c>
      <c r="CM7">
        <v>1474.32</v>
      </c>
      <c r="CN7">
        <v>1475.42</v>
      </c>
      <c r="CO7">
        <v>9548.26</v>
      </c>
      <c r="CP7">
        <v>529.4</v>
      </c>
      <c r="CQ7">
        <v>6133.04</v>
      </c>
      <c r="CR7">
        <v>771.76</v>
      </c>
      <c r="CS7">
        <v>1376.19</v>
      </c>
      <c r="CT7">
        <v>730.9</v>
      </c>
      <c r="CU7">
        <v>2490.73</v>
      </c>
      <c r="CV7">
        <v>9362.7800000000007</v>
      </c>
      <c r="CW7">
        <v>4966.7700000000004</v>
      </c>
      <c r="CX7">
        <v>1287.77</v>
      </c>
      <c r="CY7">
        <v>4403.3100000000004</v>
      </c>
      <c r="CZ7">
        <v>6381.42</v>
      </c>
      <c r="DA7">
        <v>1005.62</v>
      </c>
      <c r="DB7">
        <v>6225.14</v>
      </c>
      <c r="DC7">
        <v>6518.52</v>
      </c>
      <c r="DD7">
        <v>21234.84</v>
      </c>
      <c r="DE7">
        <v>19585.04</v>
      </c>
      <c r="DF7">
        <v>734.51</v>
      </c>
      <c r="DG7">
        <v>17011.490000000002</v>
      </c>
      <c r="DH7">
        <v>8022.2</v>
      </c>
      <c r="DI7">
        <v>1811.41</v>
      </c>
      <c r="DJ7">
        <v>5532.79</v>
      </c>
      <c r="DK7">
        <v>4003.66</v>
      </c>
      <c r="DL7">
        <v>2660.27</v>
      </c>
      <c r="DM7">
        <v>6734.22</v>
      </c>
      <c r="DN7">
        <v>8786.4699999999993</v>
      </c>
      <c r="DO7">
        <v>2372.66</v>
      </c>
      <c r="DP7">
        <v>1941.35</v>
      </c>
      <c r="DQ7">
        <v>4469.58</v>
      </c>
      <c r="DR7">
        <v>964.45</v>
      </c>
      <c r="DS7" s="6">
        <v>33129.57</v>
      </c>
      <c r="DT7">
        <v>1553.55</v>
      </c>
      <c r="DU7">
        <v>2147.7399999999998</v>
      </c>
      <c r="DV7">
        <v>8421.31</v>
      </c>
      <c r="DW7">
        <v>1299.3900000000001</v>
      </c>
      <c r="DX7">
        <v>2642.04</v>
      </c>
      <c r="DY7">
        <v>2100.6799999999998</v>
      </c>
      <c r="DZ7">
        <v>5335.69</v>
      </c>
      <c r="EA7">
        <v>21400.959999999999</v>
      </c>
      <c r="EB7">
        <v>3781.5</v>
      </c>
      <c r="EC7">
        <v>9059.69</v>
      </c>
      <c r="ED7">
        <v>4976.17</v>
      </c>
      <c r="EE7">
        <v>4672.1099999999997</v>
      </c>
      <c r="EF7">
        <v>1344.79</v>
      </c>
      <c r="EG7">
        <v>1716.88</v>
      </c>
      <c r="EH7">
        <v>2488.6799999999998</v>
      </c>
      <c r="EI7">
        <v>15866.56</v>
      </c>
      <c r="EJ7">
        <v>3452.07</v>
      </c>
      <c r="EK7">
        <v>8321.0499999999993</v>
      </c>
      <c r="EL7">
        <v>6357.29</v>
      </c>
      <c r="EM7">
        <v>1989</v>
      </c>
      <c r="EN7">
        <v>1004.37</v>
      </c>
      <c r="EO7">
        <v>7919.15</v>
      </c>
      <c r="EP7">
        <v>25251.01</v>
      </c>
      <c r="EQ7">
        <v>2538.56</v>
      </c>
      <c r="ER7">
        <v>9094.44</v>
      </c>
      <c r="ES7">
        <v>5280.91</v>
      </c>
      <c r="ET7">
        <v>771.14</v>
      </c>
      <c r="EU7">
        <v>8591.91</v>
      </c>
      <c r="EV7">
        <v>2387.88</v>
      </c>
      <c r="EW7">
        <v>2864.8</v>
      </c>
    </row>
    <row r="8" spans="1:153" x14ac:dyDescent="0.35">
      <c r="A8">
        <v>1976</v>
      </c>
      <c r="B8">
        <v>9669.3700000000008</v>
      </c>
      <c r="C8">
        <v>3575.97</v>
      </c>
      <c r="D8">
        <v>10279.68</v>
      </c>
      <c r="E8">
        <v>3170.02</v>
      </c>
      <c r="F8">
        <v>3808.78</v>
      </c>
      <c r="G8">
        <v>4340.1400000000003</v>
      </c>
      <c r="H8">
        <v>20412.77</v>
      </c>
      <c r="I8">
        <v>16885.240000000002</v>
      </c>
      <c r="J8">
        <v>803.78</v>
      </c>
      <c r="K8">
        <v>20157.259999999998</v>
      </c>
      <c r="L8">
        <v>1688.18</v>
      </c>
      <c r="M8">
        <v>797.9</v>
      </c>
      <c r="N8">
        <v>1142.83</v>
      </c>
      <c r="O8">
        <v>5640.48</v>
      </c>
      <c r="P8">
        <v>19785.82</v>
      </c>
      <c r="Q8" s="6">
        <v>12649.88</v>
      </c>
      <c r="R8">
        <v>3758.31</v>
      </c>
      <c r="S8">
        <v>23293.09</v>
      </c>
      <c r="T8">
        <v>2069.98</v>
      </c>
      <c r="U8">
        <v>5295.43</v>
      </c>
      <c r="V8">
        <v>12181.3</v>
      </c>
      <c r="W8">
        <v>1435.2</v>
      </c>
      <c r="X8">
        <v>1635.01</v>
      </c>
      <c r="Y8">
        <v>1133.99</v>
      </c>
      <c r="Z8">
        <v>23276.36</v>
      </c>
      <c r="AA8">
        <v>28201.43</v>
      </c>
      <c r="AB8">
        <v>5690.42</v>
      </c>
      <c r="AC8">
        <v>1530.17</v>
      </c>
      <c r="AD8">
        <v>3079.58</v>
      </c>
      <c r="AE8">
        <v>1495.68</v>
      </c>
      <c r="AF8">
        <v>1794.3</v>
      </c>
      <c r="AG8">
        <v>1662.2</v>
      </c>
      <c r="AH8">
        <v>6270.12</v>
      </c>
      <c r="AI8">
        <v>2865.95</v>
      </c>
      <c r="AJ8">
        <v>1295.55</v>
      </c>
      <c r="AK8">
        <v>6950.72</v>
      </c>
      <c r="AL8" s="6">
        <v>31452.84</v>
      </c>
      <c r="AM8">
        <v>7675.14</v>
      </c>
      <c r="AN8">
        <v>17963.5</v>
      </c>
      <c r="AO8">
        <v>5602.94</v>
      </c>
      <c r="AP8">
        <v>4512.2299999999996</v>
      </c>
      <c r="AQ8">
        <v>21623.71</v>
      </c>
      <c r="AR8">
        <v>4057.59</v>
      </c>
      <c r="AS8">
        <v>8155.58</v>
      </c>
      <c r="AT8">
        <v>6633.41</v>
      </c>
      <c r="AU8" s="6">
        <v>1223.3699999999999</v>
      </c>
      <c r="AV8">
        <v>13467.74</v>
      </c>
      <c r="AW8">
        <v>656.28</v>
      </c>
      <c r="AX8">
        <v>18063.27</v>
      </c>
      <c r="AY8">
        <v>4630.13</v>
      </c>
      <c r="AZ8">
        <v>20217.7</v>
      </c>
      <c r="BA8">
        <v>10099.77</v>
      </c>
      <c r="BB8">
        <v>16018.11</v>
      </c>
      <c r="BC8">
        <v>3248.84</v>
      </c>
      <c r="BD8">
        <v>3141.4</v>
      </c>
      <c r="BE8">
        <v>2892.28</v>
      </c>
      <c r="BF8">
        <v>1609.9</v>
      </c>
      <c r="BG8">
        <v>2411.54</v>
      </c>
      <c r="BH8">
        <v>12971.09</v>
      </c>
      <c r="BI8">
        <v>2846.13</v>
      </c>
      <c r="BJ8">
        <v>3384.5</v>
      </c>
      <c r="BK8">
        <v>11345.59</v>
      </c>
      <c r="BL8">
        <v>2529.44</v>
      </c>
      <c r="BM8">
        <v>1465.75</v>
      </c>
      <c r="BN8">
        <v>7304.02</v>
      </c>
      <c r="BO8">
        <v>1507.36</v>
      </c>
      <c r="BP8">
        <v>1339.69</v>
      </c>
      <c r="BQ8">
        <v>10939.35</v>
      </c>
      <c r="BR8">
        <v>8044.92</v>
      </c>
      <c r="BS8">
        <v>5156.49</v>
      </c>
      <c r="BT8">
        <v>21619.25</v>
      </c>
      <c r="BU8">
        <v>16145.89</v>
      </c>
      <c r="BV8">
        <v>15787.57</v>
      </c>
      <c r="BW8">
        <v>6331.2</v>
      </c>
      <c r="BX8">
        <v>2562.87</v>
      </c>
      <c r="BY8">
        <v>15982.45</v>
      </c>
      <c r="BZ8">
        <v>1945.16</v>
      </c>
      <c r="CA8">
        <v>1070.46</v>
      </c>
      <c r="CB8">
        <v>4620.43</v>
      </c>
      <c r="CC8">
        <v>4304.32</v>
      </c>
      <c r="CD8">
        <v>57629.78</v>
      </c>
      <c r="CE8">
        <v>773.01</v>
      </c>
      <c r="CF8">
        <v>2096.48</v>
      </c>
      <c r="CG8">
        <v>2673.83</v>
      </c>
      <c r="CH8">
        <v>4176.78</v>
      </c>
      <c r="CI8">
        <v>2824.53</v>
      </c>
      <c r="CJ8">
        <v>1307.3399999999999</v>
      </c>
      <c r="CK8">
        <v>27569.43</v>
      </c>
      <c r="CL8">
        <v>2548.27</v>
      </c>
      <c r="CM8">
        <v>1455.97</v>
      </c>
      <c r="CN8">
        <v>1322.17</v>
      </c>
      <c r="CO8">
        <v>9799.86</v>
      </c>
      <c r="CP8">
        <v>601.5</v>
      </c>
      <c r="CQ8">
        <v>7173.8</v>
      </c>
      <c r="CR8">
        <v>792.53</v>
      </c>
      <c r="CS8">
        <v>1390.32</v>
      </c>
      <c r="CT8">
        <v>751.84</v>
      </c>
      <c r="CU8">
        <v>2618.12</v>
      </c>
      <c r="CV8">
        <v>8621.35</v>
      </c>
      <c r="CW8">
        <v>6137</v>
      </c>
      <c r="CX8">
        <v>1283.97</v>
      </c>
      <c r="CY8">
        <v>5155.76</v>
      </c>
      <c r="CZ8">
        <v>6290.19</v>
      </c>
      <c r="DA8">
        <v>1043.4100000000001</v>
      </c>
      <c r="DB8">
        <v>6249.86</v>
      </c>
      <c r="DC8">
        <v>7254.61</v>
      </c>
      <c r="DD8">
        <v>22108.33</v>
      </c>
      <c r="DE8">
        <v>20275.990000000002</v>
      </c>
      <c r="DF8">
        <v>748.59</v>
      </c>
      <c r="DG8">
        <v>17434.560000000001</v>
      </c>
      <c r="DH8">
        <v>8359.58</v>
      </c>
      <c r="DI8">
        <v>1875.1</v>
      </c>
      <c r="DJ8">
        <v>5443.76</v>
      </c>
      <c r="DK8">
        <v>3974.1</v>
      </c>
      <c r="DL8">
        <v>2767.83</v>
      </c>
      <c r="DM8">
        <v>6894.62</v>
      </c>
      <c r="DN8">
        <v>9164.1</v>
      </c>
      <c r="DO8">
        <v>2565.08</v>
      </c>
      <c r="DP8">
        <v>2187.94</v>
      </c>
      <c r="DQ8">
        <v>5057.54</v>
      </c>
      <c r="DR8">
        <v>1097.92</v>
      </c>
      <c r="DS8" s="6">
        <v>38693.51</v>
      </c>
      <c r="DT8">
        <v>1775.07</v>
      </c>
      <c r="DU8">
        <v>2223.44</v>
      </c>
      <c r="DV8">
        <v>8922.5</v>
      </c>
      <c r="DW8">
        <v>1246.3900000000001</v>
      </c>
      <c r="DX8">
        <v>2997.96</v>
      </c>
      <c r="DY8">
        <v>2081.4</v>
      </c>
      <c r="DZ8">
        <v>5601.55</v>
      </c>
      <c r="EA8">
        <v>21495.79</v>
      </c>
      <c r="EB8">
        <v>4180.2299999999996</v>
      </c>
      <c r="EC8">
        <v>9872.3700000000008</v>
      </c>
      <c r="ED8">
        <v>4259.84</v>
      </c>
      <c r="EE8">
        <v>5037.6000000000004</v>
      </c>
      <c r="EF8">
        <v>1319.04</v>
      </c>
      <c r="EG8">
        <v>1650.45</v>
      </c>
      <c r="EH8">
        <v>2675.01</v>
      </c>
      <c r="EI8">
        <v>17515.22</v>
      </c>
      <c r="EJ8">
        <v>3514.63</v>
      </c>
      <c r="EK8">
        <v>9042.75</v>
      </c>
      <c r="EL8">
        <v>7337.87</v>
      </c>
      <c r="EM8">
        <v>2097.59</v>
      </c>
      <c r="EN8">
        <v>1051.0999999999999</v>
      </c>
      <c r="EO8">
        <v>8063.1</v>
      </c>
      <c r="EP8">
        <v>26513.8</v>
      </c>
      <c r="EQ8">
        <v>3492.59</v>
      </c>
      <c r="ER8">
        <v>9617.7000000000007</v>
      </c>
      <c r="ES8">
        <v>5158.0200000000004</v>
      </c>
      <c r="ET8">
        <v>837.57</v>
      </c>
      <c r="EU8">
        <v>8287.01</v>
      </c>
      <c r="EV8">
        <v>2490.2600000000002</v>
      </c>
      <c r="EW8">
        <v>2779.77</v>
      </c>
    </row>
    <row r="9" spans="1:153" x14ac:dyDescent="0.35">
      <c r="A9">
        <v>1977</v>
      </c>
      <c r="B9">
        <v>10596.88</v>
      </c>
      <c r="C9">
        <v>3511.65</v>
      </c>
      <c r="D9">
        <v>10282.57</v>
      </c>
      <c r="E9">
        <v>3233.53</v>
      </c>
      <c r="F9">
        <v>3903.47</v>
      </c>
      <c r="G9">
        <v>4610.25</v>
      </c>
      <c r="H9">
        <v>20328.099999999999</v>
      </c>
      <c r="I9">
        <v>17606.11</v>
      </c>
      <c r="J9">
        <v>944.08</v>
      </c>
      <c r="K9">
        <v>20531.47</v>
      </c>
      <c r="L9">
        <v>1583.37</v>
      </c>
      <c r="M9">
        <v>844.72</v>
      </c>
      <c r="N9">
        <v>1167.98</v>
      </c>
      <c r="O9">
        <v>5930.18</v>
      </c>
      <c r="P9">
        <v>18983.04</v>
      </c>
      <c r="Q9" s="6">
        <v>14663.99</v>
      </c>
      <c r="R9">
        <v>4077.81</v>
      </c>
      <c r="S9">
        <v>23658.94</v>
      </c>
      <c r="T9">
        <v>2137.14</v>
      </c>
      <c r="U9">
        <v>5347.51</v>
      </c>
      <c r="V9">
        <v>12314.78</v>
      </c>
      <c r="W9">
        <v>1495.23</v>
      </c>
      <c r="X9">
        <v>1713.86</v>
      </c>
      <c r="Y9">
        <v>1171.01</v>
      </c>
      <c r="Z9">
        <v>23519.46</v>
      </c>
      <c r="AA9">
        <v>28645.23</v>
      </c>
      <c r="AB9">
        <v>5947.25</v>
      </c>
      <c r="AC9">
        <v>1573.04</v>
      </c>
      <c r="AD9">
        <v>3343.63</v>
      </c>
      <c r="AE9">
        <v>1681.56</v>
      </c>
      <c r="AF9">
        <v>1853.46</v>
      </c>
      <c r="AG9">
        <v>1611.17</v>
      </c>
      <c r="AH9">
        <v>6517.13</v>
      </c>
      <c r="AI9">
        <v>2885.99</v>
      </c>
      <c r="AJ9">
        <v>1226.29</v>
      </c>
      <c r="AK9">
        <v>7789.25</v>
      </c>
      <c r="AL9" s="6">
        <v>32515.52</v>
      </c>
      <c r="AM9">
        <v>9380.7099999999991</v>
      </c>
      <c r="AN9">
        <v>18660.810000000001</v>
      </c>
      <c r="AO9">
        <v>4471.43</v>
      </c>
      <c r="AP9">
        <v>4386.51</v>
      </c>
      <c r="AQ9">
        <v>22054.94</v>
      </c>
      <c r="AR9">
        <v>4154.4399999999996</v>
      </c>
      <c r="AS9">
        <v>8719.39</v>
      </c>
      <c r="AT9">
        <v>6803.84</v>
      </c>
      <c r="AU9" s="6">
        <v>1267.4000000000001</v>
      </c>
      <c r="AV9">
        <v>13891.88</v>
      </c>
      <c r="AW9">
        <v>653.41</v>
      </c>
      <c r="AX9">
        <v>17949.97</v>
      </c>
      <c r="AY9">
        <v>4824.82</v>
      </c>
      <c r="AZ9">
        <v>20893.22</v>
      </c>
      <c r="BA9">
        <v>9589.77</v>
      </c>
      <c r="BB9">
        <v>16816.419999999998</v>
      </c>
      <c r="BC9">
        <v>3732.26</v>
      </c>
      <c r="BD9">
        <v>3018.88</v>
      </c>
      <c r="BE9">
        <v>2848.78</v>
      </c>
      <c r="BF9">
        <v>1367.24</v>
      </c>
      <c r="BG9">
        <v>2641.65</v>
      </c>
      <c r="BH9">
        <v>13151.16</v>
      </c>
      <c r="BI9">
        <v>2855.54</v>
      </c>
      <c r="BJ9">
        <v>3727.27</v>
      </c>
      <c r="BK9">
        <v>12240.61</v>
      </c>
      <c r="BL9">
        <v>2846.42</v>
      </c>
      <c r="BM9">
        <v>1459.81</v>
      </c>
      <c r="BN9">
        <v>8094.55</v>
      </c>
      <c r="BO9">
        <v>1640.1</v>
      </c>
      <c r="BP9">
        <v>1314.39</v>
      </c>
      <c r="BQ9">
        <v>11759.4</v>
      </c>
      <c r="BR9">
        <v>7209.56</v>
      </c>
      <c r="BS9">
        <v>5032.92</v>
      </c>
      <c r="BT9">
        <v>24728.78</v>
      </c>
      <c r="BU9">
        <v>15851</v>
      </c>
      <c r="BV9">
        <v>16586.91</v>
      </c>
      <c r="BW9">
        <v>5971.6</v>
      </c>
      <c r="BX9">
        <v>2763.2</v>
      </c>
      <c r="BY9">
        <v>16872.849999999999</v>
      </c>
      <c r="BZ9">
        <v>2188.2399999999998</v>
      </c>
      <c r="CA9">
        <v>939.2</v>
      </c>
      <c r="CB9">
        <v>4683.51</v>
      </c>
      <c r="CC9">
        <v>4662.6499999999996</v>
      </c>
      <c r="CD9">
        <v>55275.88</v>
      </c>
      <c r="CE9">
        <v>749.39</v>
      </c>
      <c r="CF9">
        <v>3731.76</v>
      </c>
      <c r="CG9">
        <v>2516.34</v>
      </c>
      <c r="CH9">
        <v>4566.28</v>
      </c>
      <c r="CI9">
        <v>2743.29</v>
      </c>
      <c r="CJ9">
        <v>1536.9</v>
      </c>
      <c r="CK9">
        <v>26628.43</v>
      </c>
      <c r="CL9">
        <v>2548.38</v>
      </c>
      <c r="CM9">
        <v>1440.55</v>
      </c>
      <c r="CN9">
        <v>1399.65</v>
      </c>
      <c r="CO9">
        <v>9878.4500000000007</v>
      </c>
      <c r="CP9">
        <v>622.75</v>
      </c>
      <c r="CQ9">
        <v>7721.16</v>
      </c>
      <c r="CR9">
        <v>803.46</v>
      </c>
      <c r="CS9">
        <v>1484.49</v>
      </c>
      <c r="CT9">
        <v>727.08</v>
      </c>
      <c r="CU9">
        <v>2552.67</v>
      </c>
      <c r="CV9">
        <v>8954.51</v>
      </c>
      <c r="CW9">
        <v>6137.2</v>
      </c>
      <c r="CX9">
        <v>1260.05</v>
      </c>
      <c r="CY9">
        <v>5475.66</v>
      </c>
      <c r="CZ9">
        <v>6245.61</v>
      </c>
      <c r="DA9">
        <v>1120.47</v>
      </c>
      <c r="DB9">
        <v>7061.76</v>
      </c>
      <c r="DC9">
        <v>8069.98</v>
      </c>
      <c r="DD9">
        <v>22373.09</v>
      </c>
      <c r="DE9">
        <v>20800.009999999998</v>
      </c>
      <c r="DF9">
        <v>751.99</v>
      </c>
      <c r="DG9">
        <v>16830.7</v>
      </c>
      <c r="DH9">
        <v>9360.93</v>
      </c>
      <c r="DI9">
        <v>1878.56</v>
      </c>
      <c r="DJ9">
        <v>5234.96</v>
      </c>
      <c r="DK9">
        <v>3873.45</v>
      </c>
      <c r="DL9">
        <v>2832.92</v>
      </c>
      <c r="DM9">
        <v>7047.07</v>
      </c>
      <c r="DN9">
        <v>9539.0400000000009</v>
      </c>
      <c r="DO9">
        <v>2860.61</v>
      </c>
      <c r="DP9">
        <v>2108.83</v>
      </c>
      <c r="DQ9">
        <v>5382.87</v>
      </c>
      <c r="DR9">
        <v>1133.94</v>
      </c>
      <c r="DS9" s="6">
        <v>36988.230000000003</v>
      </c>
      <c r="DT9">
        <v>1945.02</v>
      </c>
      <c r="DU9">
        <v>2198.81</v>
      </c>
      <c r="DV9">
        <v>9349.58</v>
      </c>
      <c r="DW9">
        <v>1226.08</v>
      </c>
      <c r="DX9">
        <v>3455.45</v>
      </c>
      <c r="DY9">
        <v>2427.0500000000002</v>
      </c>
      <c r="DZ9">
        <v>6342.67</v>
      </c>
      <c r="EA9">
        <v>20639.46</v>
      </c>
      <c r="EB9">
        <v>4028.21</v>
      </c>
      <c r="EC9">
        <v>11169.74</v>
      </c>
      <c r="ED9">
        <v>3533.63</v>
      </c>
      <c r="EE9">
        <v>5443.16</v>
      </c>
      <c r="EF9">
        <v>1233.9000000000001</v>
      </c>
      <c r="EG9">
        <v>1953.23</v>
      </c>
      <c r="EH9">
        <v>2859.74</v>
      </c>
      <c r="EI9">
        <v>18064.810000000001</v>
      </c>
      <c r="EJ9">
        <v>3608.42</v>
      </c>
      <c r="EK9">
        <v>8644</v>
      </c>
      <c r="EL9">
        <v>8027.16</v>
      </c>
      <c r="EM9">
        <v>1978.82</v>
      </c>
      <c r="EN9">
        <v>1051.01</v>
      </c>
      <c r="EO9">
        <v>7900.04</v>
      </c>
      <c r="EP9">
        <v>27473.65</v>
      </c>
      <c r="EQ9">
        <v>3141.46</v>
      </c>
      <c r="ER9">
        <v>9792.6200000000008</v>
      </c>
      <c r="ES9">
        <v>5252.05</v>
      </c>
      <c r="ET9">
        <v>930.59</v>
      </c>
      <c r="EU9">
        <v>8066.41</v>
      </c>
      <c r="EV9">
        <v>1970.89</v>
      </c>
      <c r="EW9">
        <v>2415.65</v>
      </c>
    </row>
    <row r="10" spans="1:153" x14ac:dyDescent="0.35">
      <c r="A10">
        <v>1978</v>
      </c>
      <c r="B10">
        <v>11615.38</v>
      </c>
      <c r="C10">
        <v>3218.77</v>
      </c>
      <c r="D10">
        <v>11009.72</v>
      </c>
      <c r="E10">
        <v>3294.38</v>
      </c>
      <c r="F10">
        <v>3725.95</v>
      </c>
      <c r="G10">
        <v>4626.97</v>
      </c>
      <c r="H10">
        <v>21151.119999999999</v>
      </c>
      <c r="I10">
        <v>17629.02</v>
      </c>
      <c r="J10">
        <v>864.99</v>
      </c>
      <c r="K10">
        <v>21283.26</v>
      </c>
      <c r="L10">
        <v>1604.09</v>
      </c>
      <c r="M10">
        <v>914.7</v>
      </c>
      <c r="N10">
        <v>1168.32</v>
      </c>
      <c r="O10">
        <v>6245.27</v>
      </c>
      <c r="P10">
        <v>17889.64</v>
      </c>
      <c r="Q10" s="6">
        <v>16800.96</v>
      </c>
      <c r="R10">
        <v>4121.99</v>
      </c>
      <c r="S10">
        <v>23772.81</v>
      </c>
      <c r="T10">
        <v>2040.6</v>
      </c>
      <c r="U10">
        <v>5385.83</v>
      </c>
      <c r="V10">
        <v>12042.11</v>
      </c>
      <c r="W10">
        <v>1555</v>
      </c>
      <c r="X10">
        <v>1741.63</v>
      </c>
      <c r="Y10">
        <v>1171.01</v>
      </c>
      <c r="Z10">
        <v>23951.34</v>
      </c>
      <c r="AA10">
        <v>29725.45</v>
      </c>
      <c r="AB10">
        <v>6280.52</v>
      </c>
      <c r="AC10">
        <v>1739.02</v>
      </c>
      <c r="AD10">
        <v>3359.1</v>
      </c>
      <c r="AE10">
        <v>1989.54</v>
      </c>
      <c r="AF10">
        <v>1743.69</v>
      </c>
      <c r="AG10">
        <v>1606.32</v>
      </c>
      <c r="AH10">
        <v>6795.96</v>
      </c>
      <c r="AI10">
        <v>2851.65</v>
      </c>
      <c r="AJ10">
        <v>1329.67</v>
      </c>
      <c r="AK10">
        <v>7863.73</v>
      </c>
      <c r="AL10" s="6">
        <v>33745.519999999997</v>
      </c>
      <c r="AM10">
        <v>10339.629999999999</v>
      </c>
      <c r="AN10">
        <v>19484.07</v>
      </c>
      <c r="AO10">
        <v>3762.3</v>
      </c>
      <c r="AP10">
        <v>4900.8599999999997</v>
      </c>
      <c r="AQ10">
        <v>22784.91</v>
      </c>
      <c r="AR10">
        <v>4004.78</v>
      </c>
      <c r="AS10">
        <v>9223.27</v>
      </c>
      <c r="AT10">
        <v>6851.97</v>
      </c>
      <c r="AU10" s="6">
        <v>1298.8699999999999</v>
      </c>
      <c r="AV10">
        <v>14321.62</v>
      </c>
      <c r="AW10">
        <v>652.75</v>
      </c>
      <c r="AX10">
        <v>18396.97</v>
      </c>
      <c r="AY10">
        <v>4874.5200000000004</v>
      </c>
      <c r="AZ10">
        <v>21947.89</v>
      </c>
      <c r="BA10">
        <v>10443.530000000001</v>
      </c>
      <c r="BB10">
        <v>18114.439999999999</v>
      </c>
      <c r="BC10">
        <v>3656.29</v>
      </c>
      <c r="BD10">
        <v>3203.65</v>
      </c>
      <c r="BE10">
        <v>2924.93</v>
      </c>
      <c r="BF10">
        <v>1599.44</v>
      </c>
      <c r="BG10">
        <v>1903.84</v>
      </c>
      <c r="BH10">
        <v>13906.66</v>
      </c>
      <c r="BI10">
        <v>3085.28</v>
      </c>
      <c r="BJ10">
        <v>3698.71</v>
      </c>
      <c r="BK10">
        <v>12908.6</v>
      </c>
      <c r="BL10">
        <v>2944.13</v>
      </c>
      <c r="BM10">
        <v>1469.85</v>
      </c>
      <c r="BN10">
        <v>8907.2199999999993</v>
      </c>
      <c r="BO10">
        <v>1721.4</v>
      </c>
      <c r="BP10">
        <v>1263.8599999999999</v>
      </c>
      <c r="BQ10">
        <v>12803.35</v>
      </c>
      <c r="BR10">
        <v>6006.14</v>
      </c>
      <c r="BS10">
        <v>5728.28</v>
      </c>
      <c r="BT10">
        <v>25522.25</v>
      </c>
      <c r="BU10">
        <v>15938.77</v>
      </c>
      <c r="BV10">
        <v>17547.62</v>
      </c>
      <c r="BW10">
        <v>5734.06</v>
      </c>
      <c r="BX10">
        <v>3270.85</v>
      </c>
      <c r="BY10">
        <v>18126.580000000002</v>
      </c>
      <c r="BZ10">
        <v>2189.37</v>
      </c>
      <c r="CA10">
        <v>971.74</v>
      </c>
      <c r="CB10">
        <v>5252.72</v>
      </c>
      <c r="CC10">
        <v>5060.74</v>
      </c>
      <c r="CD10">
        <v>50016.57</v>
      </c>
      <c r="CE10">
        <v>751.66</v>
      </c>
      <c r="CF10">
        <v>3820.57</v>
      </c>
      <c r="CG10">
        <v>2500.77</v>
      </c>
      <c r="CH10">
        <v>5106.22</v>
      </c>
      <c r="CI10">
        <v>2662.65</v>
      </c>
      <c r="CJ10">
        <v>1852.94</v>
      </c>
      <c r="CK10">
        <v>28428.93</v>
      </c>
      <c r="CL10">
        <v>2622.39</v>
      </c>
      <c r="CM10">
        <v>1363.07</v>
      </c>
      <c r="CN10">
        <v>1610.32</v>
      </c>
      <c r="CO10">
        <v>10525.51</v>
      </c>
      <c r="CP10">
        <v>599.46</v>
      </c>
      <c r="CQ10">
        <v>8591.91</v>
      </c>
      <c r="CR10">
        <v>800.7</v>
      </c>
      <c r="CS10">
        <v>1516.28</v>
      </c>
      <c r="CT10">
        <v>717.41</v>
      </c>
      <c r="CU10">
        <v>2302.75</v>
      </c>
      <c r="CV10">
        <v>8887.49</v>
      </c>
      <c r="CW10">
        <v>6171.5</v>
      </c>
      <c r="CX10">
        <v>1255.6300000000001</v>
      </c>
      <c r="CY10">
        <v>5655.42</v>
      </c>
      <c r="CZ10">
        <v>6174.39</v>
      </c>
      <c r="DA10">
        <v>1119.47</v>
      </c>
      <c r="DB10">
        <v>6849.32</v>
      </c>
      <c r="DC10">
        <v>6624.34</v>
      </c>
      <c r="DD10">
        <v>22951.98</v>
      </c>
      <c r="DE10">
        <v>21327.65</v>
      </c>
      <c r="DF10">
        <v>766.72</v>
      </c>
      <c r="DG10">
        <v>16931.419999999998</v>
      </c>
      <c r="DH10">
        <v>9658.7900000000009</v>
      </c>
      <c r="DI10">
        <v>1940.76</v>
      </c>
      <c r="DJ10">
        <v>5702.18</v>
      </c>
      <c r="DK10">
        <v>3727.07</v>
      </c>
      <c r="DL10">
        <v>2921.03</v>
      </c>
      <c r="DM10">
        <v>7083.27</v>
      </c>
      <c r="DN10">
        <v>9707.06</v>
      </c>
      <c r="DO10">
        <v>3049.21</v>
      </c>
      <c r="DP10">
        <v>2336.5500000000002</v>
      </c>
      <c r="DQ10">
        <v>5756.79</v>
      </c>
      <c r="DR10">
        <v>1100.9100000000001</v>
      </c>
      <c r="DS10" s="6">
        <v>34332.81</v>
      </c>
      <c r="DT10">
        <v>1755.97</v>
      </c>
      <c r="DU10">
        <v>2100.12</v>
      </c>
      <c r="DV10">
        <v>10246.290000000001</v>
      </c>
      <c r="DW10">
        <v>1238.1600000000001</v>
      </c>
      <c r="DX10">
        <v>3180.57</v>
      </c>
      <c r="DY10">
        <v>2538.4499999999998</v>
      </c>
      <c r="DZ10">
        <v>6731.05</v>
      </c>
      <c r="EA10">
        <v>20549.37</v>
      </c>
      <c r="EB10">
        <v>3713.21</v>
      </c>
      <c r="EC10">
        <v>11848.61</v>
      </c>
      <c r="ED10">
        <v>3251.56</v>
      </c>
      <c r="EE10">
        <v>5881.2</v>
      </c>
      <c r="EF10">
        <v>1197.17</v>
      </c>
      <c r="EG10">
        <v>2087.4899999999998</v>
      </c>
      <c r="EH10">
        <v>3082.46</v>
      </c>
      <c r="EI10">
        <v>18609.77</v>
      </c>
      <c r="EJ10">
        <v>3762.31</v>
      </c>
      <c r="EK10">
        <v>8163.52</v>
      </c>
      <c r="EL10">
        <v>8883.14</v>
      </c>
      <c r="EM10">
        <v>1973.22</v>
      </c>
      <c r="EN10">
        <v>969.38</v>
      </c>
      <c r="EO10">
        <v>8330.01</v>
      </c>
      <c r="EP10">
        <v>28785.75</v>
      </c>
      <c r="EQ10">
        <v>3593.78</v>
      </c>
      <c r="ER10">
        <v>9237.94</v>
      </c>
      <c r="ES10">
        <v>5617.1</v>
      </c>
      <c r="ET10">
        <v>927.03</v>
      </c>
      <c r="EU10">
        <v>8249.07</v>
      </c>
      <c r="EV10">
        <v>1710.96</v>
      </c>
      <c r="EW10">
        <v>2580.19</v>
      </c>
    </row>
    <row r="11" spans="1:153" x14ac:dyDescent="0.35">
      <c r="A11">
        <v>1979</v>
      </c>
      <c r="B11">
        <v>12701.44</v>
      </c>
      <c r="C11">
        <v>3121.28</v>
      </c>
      <c r="D11">
        <v>11989.84</v>
      </c>
      <c r="E11">
        <v>3331.84</v>
      </c>
      <c r="F11">
        <v>4008.27</v>
      </c>
      <c r="G11">
        <v>5731.59</v>
      </c>
      <c r="H11">
        <v>21637.83</v>
      </c>
      <c r="I11">
        <v>18372.79</v>
      </c>
      <c r="J11">
        <v>862.3</v>
      </c>
      <c r="K11">
        <v>22003.21</v>
      </c>
      <c r="L11">
        <v>1663.94</v>
      </c>
      <c r="M11">
        <v>958.2</v>
      </c>
      <c r="N11">
        <v>1208.99</v>
      </c>
      <c r="O11">
        <v>6787.55</v>
      </c>
      <c r="P11">
        <v>20083.96</v>
      </c>
      <c r="Q11" s="6">
        <v>23327.89</v>
      </c>
      <c r="R11">
        <v>4370.67</v>
      </c>
      <c r="S11">
        <v>24808.13</v>
      </c>
      <c r="T11">
        <v>2109.0500000000002</v>
      </c>
      <c r="U11">
        <v>5569.39</v>
      </c>
      <c r="V11">
        <v>12632.44</v>
      </c>
      <c r="W11">
        <v>1594.24</v>
      </c>
      <c r="X11">
        <v>1933.22</v>
      </c>
      <c r="Y11">
        <v>1117.8900000000001</v>
      </c>
      <c r="Z11">
        <v>24950.51</v>
      </c>
      <c r="AA11">
        <v>30445.06</v>
      </c>
      <c r="AB11">
        <v>6822.04</v>
      </c>
      <c r="AC11">
        <v>1804.49</v>
      </c>
      <c r="AD11">
        <v>3180.42</v>
      </c>
      <c r="AE11">
        <v>2115.34</v>
      </c>
      <c r="AF11">
        <v>2024.1</v>
      </c>
      <c r="AG11">
        <v>1821.63</v>
      </c>
      <c r="AH11">
        <v>6834.97</v>
      </c>
      <c r="AI11">
        <v>3012.42</v>
      </c>
      <c r="AJ11">
        <v>1353.45</v>
      </c>
      <c r="AK11">
        <v>7867.06</v>
      </c>
      <c r="AL11" s="6">
        <v>35297.17</v>
      </c>
      <c r="AM11">
        <v>11805.28</v>
      </c>
      <c r="AN11">
        <v>20312.560000000001</v>
      </c>
      <c r="AO11">
        <v>3671.71</v>
      </c>
      <c r="AP11">
        <v>4172.18</v>
      </c>
      <c r="AQ11">
        <v>23450.639999999999</v>
      </c>
      <c r="AR11">
        <v>4091.07</v>
      </c>
      <c r="AS11">
        <v>10414</v>
      </c>
      <c r="AT11">
        <v>7130.58</v>
      </c>
      <c r="AU11" s="6">
        <v>1261.8399999999999</v>
      </c>
      <c r="AV11">
        <v>14455.01</v>
      </c>
      <c r="AW11">
        <v>660.3</v>
      </c>
      <c r="AX11">
        <v>18950.53</v>
      </c>
      <c r="AY11">
        <v>5503.33</v>
      </c>
      <c r="AZ11">
        <v>22776.9</v>
      </c>
      <c r="BA11">
        <v>11296.42</v>
      </c>
      <c r="BB11">
        <v>19210.990000000002</v>
      </c>
      <c r="BC11">
        <v>3375.84</v>
      </c>
      <c r="BD11">
        <v>3136.7</v>
      </c>
      <c r="BE11">
        <v>2746.12</v>
      </c>
      <c r="BF11">
        <v>1626.85</v>
      </c>
      <c r="BG11">
        <v>1881.87</v>
      </c>
      <c r="BH11">
        <v>14016.92</v>
      </c>
      <c r="BI11">
        <v>3193.86</v>
      </c>
      <c r="BJ11">
        <v>3730.5</v>
      </c>
      <c r="BK11">
        <v>13936.81</v>
      </c>
      <c r="BL11">
        <v>2880.04</v>
      </c>
      <c r="BM11">
        <v>1519.66</v>
      </c>
      <c r="BN11">
        <v>9707.89</v>
      </c>
      <c r="BO11">
        <v>1985.35</v>
      </c>
      <c r="BP11">
        <v>1152.24</v>
      </c>
      <c r="BQ11">
        <v>13115.43</v>
      </c>
      <c r="BR11">
        <v>5589.66</v>
      </c>
      <c r="BS11">
        <v>7145.48</v>
      </c>
      <c r="BT11">
        <v>25677.360000000001</v>
      </c>
      <c r="BU11">
        <v>16303.34</v>
      </c>
      <c r="BV11">
        <v>19025.84</v>
      </c>
      <c r="BW11">
        <v>5045.13</v>
      </c>
      <c r="BX11">
        <v>3707.53</v>
      </c>
      <c r="BY11">
        <v>18952.21</v>
      </c>
      <c r="BZ11">
        <v>2083.69</v>
      </c>
      <c r="CA11">
        <v>871.57</v>
      </c>
      <c r="CB11">
        <v>5797.45</v>
      </c>
      <c r="CC11">
        <v>5218.2299999999996</v>
      </c>
      <c r="CD11">
        <v>66936.639999999999</v>
      </c>
      <c r="CE11">
        <v>722.35</v>
      </c>
      <c r="CF11">
        <v>4347.92</v>
      </c>
      <c r="CG11">
        <v>2421.25</v>
      </c>
      <c r="CH11">
        <v>5246.06</v>
      </c>
      <c r="CI11">
        <v>2210.0300000000002</v>
      </c>
      <c r="CJ11">
        <v>1502.81</v>
      </c>
      <c r="CK11">
        <v>29411.52</v>
      </c>
      <c r="CL11">
        <v>2724.15</v>
      </c>
      <c r="CM11">
        <v>1461.21</v>
      </c>
      <c r="CN11">
        <v>1919.23</v>
      </c>
      <c r="CO11">
        <v>11377.85</v>
      </c>
      <c r="CP11">
        <v>658.76</v>
      </c>
      <c r="CQ11">
        <v>9200.66</v>
      </c>
      <c r="CR11">
        <v>815.44</v>
      </c>
      <c r="CS11">
        <v>1543.47</v>
      </c>
      <c r="CT11">
        <v>721.31</v>
      </c>
      <c r="CU11">
        <v>2435.3000000000002</v>
      </c>
      <c r="CV11">
        <v>9938.02</v>
      </c>
      <c r="CW11">
        <v>6169.86</v>
      </c>
      <c r="CX11">
        <v>1157.6500000000001</v>
      </c>
      <c r="CY11">
        <v>6256.71</v>
      </c>
      <c r="CZ11">
        <v>6210.61</v>
      </c>
      <c r="DA11">
        <v>1308.93</v>
      </c>
      <c r="DB11">
        <v>6276.13</v>
      </c>
      <c r="DC11">
        <v>4030.27</v>
      </c>
      <c r="DD11">
        <v>23187.93</v>
      </c>
      <c r="DE11">
        <v>22515.95</v>
      </c>
      <c r="DF11">
        <v>788.52</v>
      </c>
      <c r="DG11">
        <v>16851.150000000001</v>
      </c>
      <c r="DH11">
        <v>10927.43</v>
      </c>
      <c r="DI11">
        <v>1969.12</v>
      </c>
      <c r="DJ11">
        <v>5644.05</v>
      </c>
      <c r="DK11">
        <v>3989.58</v>
      </c>
      <c r="DL11">
        <v>2945.17</v>
      </c>
      <c r="DM11">
        <v>7018.87</v>
      </c>
      <c r="DN11">
        <v>10001.94</v>
      </c>
      <c r="DO11">
        <v>2969.86</v>
      </c>
      <c r="DP11">
        <v>2240.37</v>
      </c>
      <c r="DQ11">
        <v>6212.78</v>
      </c>
      <c r="DR11">
        <v>1218.57</v>
      </c>
      <c r="DS11" s="6">
        <v>33738.949999999997</v>
      </c>
      <c r="DT11">
        <v>1525.67</v>
      </c>
      <c r="DU11">
        <v>2191.7199999999998</v>
      </c>
      <c r="DV11">
        <v>11203.63</v>
      </c>
      <c r="DW11">
        <v>1231.3599999999999</v>
      </c>
      <c r="DX11">
        <v>3125.3</v>
      </c>
      <c r="DY11">
        <v>2871.01</v>
      </c>
      <c r="DZ11">
        <v>6540.81</v>
      </c>
      <c r="EA11">
        <v>21287.279999999999</v>
      </c>
      <c r="EB11">
        <v>3603.25</v>
      </c>
      <c r="EC11">
        <v>13183.71</v>
      </c>
      <c r="ED11">
        <v>2912.65</v>
      </c>
      <c r="EE11">
        <v>6320.12</v>
      </c>
      <c r="EF11">
        <v>967.31</v>
      </c>
      <c r="EG11">
        <v>2077.1799999999998</v>
      </c>
      <c r="EH11">
        <v>3167.51</v>
      </c>
      <c r="EI11">
        <v>20672.060000000001</v>
      </c>
      <c r="EJ11">
        <v>3994.47</v>
      </c>
      <c r="EK11">
        <v>7929.99</v>
      </c>
      <c r="EL11">
        <v>9280.42</v>
      </c>
      <c r="EM11">
        <v>1956.05</v>
      </c>
      <c r="EN11">
        <v>811.83</v>
      </c>
      <c r="EO11">
        <v>8993.08</v>
      </c>
      <c r="EP11">
        <v>29319.119999999999</v>
      </c>
      <c r="EQ11">
        <v>3588.39</v>
      </c>
      <c r="ER11">
        <v>9873.73</v>
      </c>
      <c r="ES11">
        <v>6411.68</v>
      </c>
      <c r="ET11">
        <v>967.84</v>
      </c>
      <c r="EU11">
        <v>8508</v>
      </c>
      <c r="EV11">
        <v>1787.01</v>
      </c>
      <c r="EW11">
        <v>2625.25</v>
      </c>
    </row>
    <row r="12" spans="1:153" x14ac:dyDescent="0.35">
      <c r="A12">
        <v>1980</v>
      </c>
      <c r="B12">
        <v>13809.66</v>
      </c>
      <c r="C12">
        <v>3094.77</v>
      </c>
      <c r="D12">
        <v>12541.24</v>
      </c>
      <c r="E12">
        <v>3437.24</v>
      </c>
      <c r="F12">
        <v>4177.95</v>
      </c>
      <c r="G12">
        <v>5525.09</v>
      </c>
      <c r="H12">
        <v>22110.42</v>
      </c>
      <c r="I12">
        <v>18493.2</v>
      </c>
      <c r="J12">
        <v>837.12</v>
      </c>
      <c r="K12">
        <v>22866.04</v>
      </c>
      <c r="L12">
        <v>1836.2</v>
      </c>
      <c r="M12">
        <v>927.38</v>
      </c>
      <c r="N12">
        <v>1171.55</v>
      </c>
      <c r="O12">
        <v>6844.49</v>
      </c>
      <c r="P12">
        <v>22339.39</v>
      </c>
      <c r="Q12" s="6">
        <v>22796.17</v>
      </c>
      <c r="R12">
        <v>4962.49</v>
      </c>
      <c r="S12">
        <v>25719.919999999998</v>
      </c>
      <c r="T12">
        <v>2119.6799999999998</v>
      </c>
      <c r="U12">
        <v>5488.68</v>
      </c>
      <c r="V12">
        <v>12999.65</v>
      </c>
      <c r="W12">
        <v>1588.82</v>
      </c>
      <c r="X12">
        <v>2236.5300000000002</v>
      </c>
      <c r="Y12">
        <v>1003.58</v>
      </c>
      <c r="Z12">
        <v>25182.41</v>
      </c>
      <c r="AA12">
        <v>31377.9</v>
      </c>
      <c r="AB12">
        <v>7090.43</v>
      </c>
      <c r="AC12">
        <v>1844.41</v>
      </c>
      <c r="AD12">
        <v>2432.1</v>
      </c>
      <c r="AE12">
        <v>2293.66</v>
      </c>
      <c r="AF12">
        <v>2062.2600000000002</v>
      </c>
      <c r="AG12">
        <v>2121.06</v>
      </c>
      <c r="AH12">
        <v>6972.39</v>
      </c>
      <c r="AI12">
        <v>3162.81</v>
      </c>
      <c r="AJ12">
        <v>1428.62</v>
      </c>
      <c r="AK12">
        <v>7684.22</v>
      </c>
      <c r="AL12" s="6">
        <v>36908.99</v>
      </c>
      <c r="AM12">
        <v>12454.38</v>
      </c>
      <c r="AN12">
        <v>20347.71</v>
      </c>
      <c r="AO12">
        <v>3562.45</v>
      </c>
      <c r="AP12">
        <v>4331.3100000000004</v>
      </c>
      <c r="AQ12">
        <v>22918.400000000001</v>
      </c>
      <c r="AR12">
        <v>4518.17</v>
      </c>
      <c r="AS12">
        <v>11111.25</v>
      </c>
      <c r="AT12">
        <v>7294.5</v>
      </c>
      <c r="AU12" s="6">
        <v>1267.24</v>
      </c>
      <c r="AV12">
        <v>14548.84</v>
      </c>
      <c r="AW12">
        <v>687.04</v>
      </c>
      <c r="AX12">
        <v>19551.560000000001</v>
      </c>
      <c r="AY12">
        <v>5456.74</v>
      </c>
      <c r="AZ12">
        <v>22896.400000000001</v>
      </c>
      <c r="BA12">
        <v>12712.12</v>
      </c>
      <c r="BB12">
        <v>19594.43</v>
      </c>
      <c r="BC12">
        <v>3320.37</v>
      </c>
      <c r="BD12">
        <v>3246.36</v>
      </c>
      <c r="BE12">
        <v>2648.19</v>
      </c>
      <c r="BF12">
        <v>1503.12</v>
      </c>
      <c r="BG12">
        <v>1744.74</v>
      </c>
      <c r="BH12">
        <v>13924.93</v>
      </c>
      <c r="BI12">
        <v>2963.18</v>
      </c>
      <c r="BJ12">
        <v>3773.27</v>
      </c>
      <c r="BK12">
        <v>15117.12</v>
      </c>
      <c r="BL12">
        <v>2838.02</v>
      </c>
      <c r="BM12">
        <v>1584.98</v>
      </c>
      <c r="BN12">
        <v>10563.44</v>
      </c>
      <c r="BO12">
        <v>2247.9699999999998</v>
      </c>
      <c r="BP12">
        <v>1134.06</v>
      </c>
      <c r="BQ12">
        <v>13113.47</v>
      </c>
      <c r="BR12">
        <v>3846.9</v>
      </c>
      <c r="BS12">
        <v>7071.65</v>
      </c>
      <c r="BT12">
        <v>26849.58</v>
      </c>
      <c r="BU12">
        <v>16102.37</v>
      </c>
      <c r="BV12">
        <v>20090.349999999999</v>
      </c>
      <c r="BW12">
        <v>4425.2299999999996</v>
      </c>
      <c r="BX12">
        <v>4271.0600000000004</v>
      </c>
      <c r="BY12">
        <v>19291.73</v>
      </c>
      <c r="BZ12">
        <v>2062.5</v>
      </c>
      <c r="CA12">
        <v>830.69</v>
      </c>
      <c r="CB12">
        <v>6277.56</v>
      </c>
      <c r="CC12">
        <v>4662.7700000000004</v>
      </c>
      <c r="CD12">
        <v>65342.89</v>
      </c>
      <c r="CE12">
        <v>783.04</v>
      </c>
      <c r="CF12">
        <v>4464.1899999999996</v>
      </c>
      <c r="CG12">
        <v>2155.91</v>
      </c>
      <c r="CH12">
        <v>5101.74</v>
      </c>
      <c r="CI12">
        <v>2042.49</v>
      </c>
      <c r="CJ12">
        <v>1398.37</v>
      </c>
      <c r="CK12">
        <v>30450.720000000001</v>
      </c>
      <c r="CL12">
        <v>2659.87</v>
      </c>
      <c r="CM12">
        <v>1424.07</v>
      </c>
      <c r="CN12">
        <v>2620.2399999999998</v>
      </c>
      <c r="CO12">
        <v>12441.96</v>
      </c>
      <c r="CP12">
        <v>620.01</v>
      </c>
      <c r="CQ12">
        <v>9736.83</v>
      </c>
      <c r="CR12">
        <v>867.79</v>
      </c>
      <c r="CS12">
        <v>1717.07</v>
      </c>
      <c r="CT12">
        <v>721.19</v>
      </c>
      <c r="CU12">
        <v>2348.15</v>
      </c>
      <c r="CV12">
        <v>11476.08</v>
      </c>
      <c r="CW12">
        <v>5612.11</v>
      </c>
      <c r="CX12">
        <v>1159.52</v>
      </c>
      <c r="CY12">
        <v>6630.15</v>
      </c>
      <c r="CZ12">
        <v>7028.54</v>
      </c>
      <c r="DA12">
        <v>1331.19</v>
      </c>
      <c r="DB12">
        <v>5653.45</v>
      </c>
      <c r="DC12">
        <v>4943.49</v>
      </c>
      <c r="DD12">
        <v>23750.41</v>
      </c>
      <c r="DE12">
        <v>24268.05</v>
      </c>
      <c r="DF12">
        <v>716.94</v>
      </c>
      <c r="DG12">
        <v>16592.16</v>
      </c>
      <c r="DH12">
        <v>11499.09</v>
      </c>
      <c r="DI12">
        <v>2027.02</v>
      </c>
      <c r="DJ12">
        <v>6244.41</v>
      </c>
      <c r="DK12">
        <v>4071.53</v>
      </c>
      <c r="DL12">
        <v>3113.4</v>
      </c>
      <c r="DM12">
        <v>6214.35</v>
      </c>
      <c r="DN12">
        <v>10137.31</v>
      </c>
      <c r="DO12">
        <v>3362.9</v>
      </c>
      <c r="DP12">
        <v>2504.9899999999998</v>
      </c>
      <c r="DQ12">
        <v>6325.55</v>
      </c>
      <c r="DR12">
        <v>1154.3900000000001</v>
      </c>
      <c r="DS12" s="6">
        <v>34777.71</v>
      </c>
      <c r="DT12">
        <v>1520.08</v>
      </c>
      <c r="DU12">
        <v>2023.84</v>
      </c>
      <c r="DV12">
        <v>12422.24</v>
      </c>
      <c r="DW12">
        <v>1171.95</v>
      </c>
      <c r="DX12">
        <v>2783.18</v>
      </c>
      <c r="DY12">
        <v>2359.5500000000002</v>
      </c>
      <c r="DZ12">
        <v>5943.25</v>
      </c>
      <c r="EA12">
        <v>21343.56</v>
      </c>
      <c r="EB12">
        <v>3738.67</v>
      </c>
      <c r="EC12">
        <v>11078.34</v>
      </c>
      <c r="ED12">
        <v>2766.1</v>
      </c>
      <c r="EE12">
        <v>6752.78</v>
      </c>
      <c r="EF12">
        <v>890.12</v>
      </c>
      <c r="EG12">
        <v>1967.63</v>
      </c>
      <c r="EH12">
        <v>3188.19</v>
      </c>
      <c r="EI12">
        <v>23142.16</v>
      </c>
      <c r="EJ12">
        <v>4285.78</v>
      </c>
      <c r="EK12">
        <v>7613.37</v>
      </c>
      <c r="EL12">
        <v>9516.01</v>
      </c>
      <c r="EM12">
        <v>1838.02</v>
      </c>
      <c r="EN12">
        <v>743.24</v>
      </c>
      <c r="EO12">
        <v>9500.76</v>
      </c>
      <c r="EP12">
        <v>28511</v>
      </c>
      <c r="EQ12">
        <v>3575.89</v>
      </c>
      <c r="ER12">
        <v>10416.73</v>
      </c>
      <c r="ES12">
        <v>7283.19</v>
      </c>
      <c r="ET12">
        <v>912.38</v>
      </c>
      <c r="EU12">
        <v>9491.18</v>
      </c>
      <c r="EV12">
        <v>1568.52</v>
      </c>
      <c r="EW12">
        <v>2687.81</v>
      </c>
    </row>
    <row r="13" spans="1:153" x14ac:dyDescent="0.35">
      <c r="A13">
        <v>1981</v>
      </c>
      <c r="B13">
        <v>14955.74</v>
      </c>
      <c r="C13">
        <v>2955.37</v>
      </c>
      <c r="D13">
        <v>13259.08</v>
      </c>
      <c r="E13">
        <v>3489.2</v>
      </c>
      <c r="F13">
        <v>4077.94</v>
      </c>
      <c r="G13">
        <v>5791.45</v>
      </c>
      <c r="H13">
        <v>22919.67</v>
      </c>
      <c r="I13">
        <v>18317.12</v>
      </c>
      <c r="J13">
        <v>864.96</v>
      </c>
      <c r="K13">
        <v>21346.38</v>
      </c>
      <c r="L13">
        <v>1964.96</v>
      </c>
      <c r="M13">
        <v>959.06</v>
      </c>
      <c r="N13">
        <v>1165.3699999999999</v>
      </c>
      <c r="O13">
        <v>7258.03</v>
      </c>
      <c r="P13">
        <v>20328.14</v>
      </c>
      <c r="Q13" s="6">
        <v>20404.810000000001</v>
      </c>
      <c r="R13">
        <v>3937.38</v>
      </c>
      <c r="S13">
        <v>25219.51</v>
      </c>
      <c r="T13">
        <v>2165.4299999999998</v>
      </c>
      <c r="U13">
        <v>5430.55</v>
      </c>
      <c r="V13">
        <v>12630.34</v>
      </c>
      <c r="W13">
        <v>1751.35</v>
      </c>
      <c r="X13">
        <v>2374.61</v>
      </c>
      <c r="Y13">
        <v>1153.69</v>
      </c>
      <c r="Z13">
        <v>25583.68</v>
      </c>
      <c r="AA13">
        <v>31416.77</v>
      </c>
      <c r="AB13">
        <v>7283.35</v>
      </c>
      <c r="AC13">
        <v>1826.95</v>
      </c>
      <c r="AD13">
        <v>2398.3000000000002</v>
      </c>
      <c r="AE13">
        <v>2489.13</v>
      </c>
      <c r="AF13">
        <v>1923.63</v>
      </c>
      <c r="AG13">
        <v>2383.8000000000002</v>
      </c>
      <c r="AH13">
        <v>6776.96</v>
      </c>
      <c r="AI13">
        <v>3093.28</v>
      </c>
      <c r="AJ13">
        <v>1460.07</v>
      </c>
      <c r="AK13">
        <v>6987.31</v>
      </c>
      <c r="AL13" s="6">
        <v>39078.839999999997</v>
      </c>
      <c r="AM13">
        <v>12446.58</v>
      </c>
      <c r="AN13">
        <v>19667.79</v>
      </c>
      <c r="AO13">
        <v>3493.17</v>
      </c>
      <c r="AP13">
        <v>5023.2299999999996</v>
      </c>
      <c r="AQ13">
        <v>21906.47</v>
      </c>
      <c r="AR13">
        <v>4704.8</v>
      </c>
      <c r="AS13">
        <v>11608.78</v>
      </c>
      <c r="AT13">
        <v>7273.34</v>
      </c>
      <c r="AU13" s="6">
        <v>1414.69</v>
      </c>
      <c r="AV13">
        <v>13535.05</v>
      </c>
      <c r="AW13">
        <v>744.63</v>
      </c>
      <c r="AX13">
        <v>19826.259999999998</v>
      </c>
      <c r="AY13">
        <v>4951.24</v>
      </c>
      <c r="AZ13">
        <v>22084.400000000001</v>
      </c>
      <c r="BA13">
        <v>12617.96</v>
      </c>
      <c r="BB13">
        <v>19200.68</v>
      </c>
      <c r="BC13">
        <v>3028.2</v>
      </c>
      <c r="BD13">
        <v>3122.03</v>
      </c>
      <c r="BE13">
        <v>3036.35</v>
      </c>
      <c r="BF13">
        <v>1344.79</v>
      </c>
      <c r="BG13">
        <v>1563.19</v>
      </c>
      <c r="BH13">
        <v>13912.02</v>
      </c>
      <c r="BI13">
        <v>2820.19</v>
      </c>
      <c r="BJ13">
        <v>3696.49</v>
      </c>
      <c r="BK13">
        <v>15586.27</v>
      </c>
      <c r="BL13">
        <v>2723.17</v>
      </c>
      <c r="BM13">
        <v>1449.92</v>
      </c>
      <c r="BN13">
        <v>10740.25</v>
      </c>
      <c r="BO13">
        <v>2383.7199999999998</v>
      </c>
      <c r="BP13">
        <v>1104.57</v>
      </c>
      <c r="BQ13">
        <v>13118.16</v>
      </c>
      <c r="BR13">
        <v>3415.62</v>
      </c>
      <c r="BS13">
        <v>5699.5</v>
      </c>
      <c r="BT13">
        <v>27875</v>
      </c>
      <c r="BU13">
        <v>16744.34</v>
      </c>
      <c r="BV13">
        <v>19588.09</v>
      </c>
      <c r="BW13">
        <v>4113.3900000000003</v>
      </c>
      <c r="BX13">
        <v>4143.5600000000004</v>
      </c>
      <c r="BY13">
        <v>19121.77</v>
      </c>
      <c r="BZ13">
        <v>1984.09</v>
      </c>
      <c r="CA13">
        <v>822.55</v>
      </c>
      <c r="CB13">
        <v>6636.66</v>
      </c>
      <c r="CC13">
        <v>4850.0600000000004</v>
      </c>
      <c r="CD13">
        <v>51555.11</v>
      </c>
      <c r="CE13">
        <v>886.55</v>
      </c>
      <c r="CF13">
        <v>4478.04</v>
      </c>
      <c r="CG13">
        <v>1779.19</v>
      </c>
      <c r="CH13">
        <v>4853.6099999999997</v>
      </c>
      <c r="CI13">
        <v>2258.41</v>
      </c>
      <c r="CJ13">
        <v>1387.75</v>
      </c>
      <c r="CK13">
        <v>29364.12</v>
      </c>
      <c r="CL13">
        <v>2580.66</v>
      </c>
      <c r="CM13">
        <v>1317.29</v>
      </c>
      <c r="CN13">
        <v>2671.34</v>
      </c>
      <c r="CO13">
        <v>13247.71</v>
      </c>
      <c r="CP13">
        <v>690.12</v>
      </c>
      <c r="CQ13">
        <v>10222.6</v>
      </c>
      <c r="CR13">
        <v>893.76</v>
      </c>
      <c r="CS13">
        <v>1554.71</v>
      </c>
      <c r="CT13">
        <v>730.62</v>
      </c>
      <c r="CU13">
        <v>2352.5300000000002</v>
      </c>
      <c r="CV13">
        <v>12040.61</v>
      </c>
      <c r="CW13">
        <v>5569.56</v>
      </c>
      <c r="CX13">
        <v>1195.04</v>
      </c>
      <c r="CY13">
        <v>6533.51</v>
      </c>
      <c r="CZ13">
        <v>6184.03</v>
      </c>
      <c r="DA13">
        <v>1197.56</v>
      </c>
      <c r="DB13">
        <v>5333.76</v>
      </c>
      <c r="DC13">
        <v>4943.34</v>
      </c>
      <c r="DD13">
        <v>23022.3</v>
      </c>
      <c r="DE13">
        <v>24547.84</v>
      </c>
      <c r="DF13">
        <v>766</v>
      </c>
      <c r="DG13">
        <v>17131.259999999998</v>
      </c>
      <c r="DH13">
        <v>12803.25</v>
      </c>
      <c r="DI13">
        <v>2067.36</v>
      </c>
      <c r="DJ13">
        <v>6490.82</v>
      </c>
      <c r="DK13">
        <v>4133.45</v>
      </c>
      <c r="DL13">
        <v>3160.87</v>
      </c>
      <c r="DM13">
        <v>5811.04</v>
      </c>
      <c r="DN13">
        <v>9814.44</v>
      </c>
      <c r="DO13">
        <v>3680.13</v>
      </c>
      <c r="DP13">
        <v>2267.44</v>
      </c>
      <c r="DQ13">
        <v>6270.13</v>
      </c>
      <c r="DR13">
        <v>1277.44</v>
      </c>
      <c r="DS13" s="6">
        <v>32983.230000000003</v>
      </c>
      <c r="DT13">
        <v>1620.59</v>
      </c>
      <c r="DU13">
        <v>2002.84</v>
      </c>
      <c r="DV13">
        <v>13308.29</v>
      </c>
      <c r="DW13">
        <v>1213.31</v>
      </c>
      <c r="DX13">
        <v>2418.85</v>
      </c>
      <c r="DY13">
        <v>2071.65</v>
      </c>
      <c r="DZ13">
        <v>6283.52</v>
      </c>
      <c r="EA13">
        <v>21273.05</v>
      </c>
      <c r="EB13">
        <v>3954.58</v>
      </c>
      <c r="EC13">
        <v>10323</v>
      </c>
      <c r="ED13">
        <v>2580.4699999999998</v>
      </c>
      <c r="EE13">
        <v>7149.32</v>
      </c>
      <c r="EF13">
        <v>777.54</v>
      </c>
      <c r="EG13">
        <v>1673.97</v>
      </c>
      <c r="EH13">
        <v>3278.89</v>
      </c>
      <c r="EI13">
        <v>22334.16</v>
      </c>
      <c r="EJ13">
        <v>4444.4799999999996</v>
      </c>
      <c r="EK13">
        <v>8299.4</v>
      </c>
      <c r="EL13">
        <v>9988.44</v>
      </c>
      <c r="EM13">
        <v>1540.35</v>
      </c>
      <c r="EN13">
        <v>725.33</v>
      </c>
      <c r="EO13">
        <v>9616.5300000000007</v>
      </c>
      <c r="EP13">
        <v>29045.85</v>
      </c>
      <c r="EQ13">
        <v>3860.52</v>
      </c>
      <c r="ER13">
        <v>10249.379999999999</v>
      </c>
      <c r="ES13">
        <v>7142.66</v>
      </c>
      <c r="ET13">
        <v>943.37</v>
      </c>
      <c r="EU13">
        <v>9195.98</v>
      </c>
      <c r="EV13">
        <v>1630.06</v>
      </c>
      <c r="EW13">
        <v>3160.61</v>
      </c>
    </row>
    <row r="14" spans="1:153" x14ac:dyDescent="0.35">
      <c r="A14">
        <v>1982</v>
      </c>
      <c r="B14">
        <v>16076.49</v>
      </c>
      <c r="C14">
        <v>2893.01</v>
      </c>
      <c r="D14">
        <v>13378</v>
      </c>
      <c r="E14">
        <v>3456.06</v>
      </c>
      <c r="F14">
        <v>4016.47</v>
      </c>
      <c r="G14">
        <v>7377.83</v>
      </c>
      <c r="H14">
        <v>22031.81</v>
      </c>
      <c r="I14">
        <v>18464.62</v>
      </c>
      <c r="J14">
        <v>830.27</v>
      </c>
      <c r="K14">
        <v>20628.099999999999</v>
      </c>
      <c r="L14">
        <v>1482.96</v>
      </c>
      <c r="M14">
        <v>928.92</v>
      </c>
      <c r="N14">
        <v>1128.45</v>
      </c>
      <c r="O14">
        <v>7638.21</v>
      </c>
      <c r="P14">
        <v>17491.88</v>
      </c>
      <c r="Q14" s="6">
        <v>19109.77</v>
      </c>
      <c r="R14">
        <v>3955.63</v>
      </c>
      <c r="S14">
        <v>25947.43</v>
      </c>
      <c r="T14">
        <v>2147.27</v>
      </c>
      <c r="U14">
        <v>5442.96</v>
      </c>
      <c r="V14">
        <v>12066.44</v>
      </c>
      <c r="W14">
        <v>1791.65</v>
      </c>
      <c r="X14">
        <v>2301.5700000000002</v>
      </c>
      <c r="Y14">
        <v>1110.6600000000001</v>
      </c>
      <c r="Z14">
        <v>24267.599999999999</v>
      </c>
      <c r="AA14">
        <v>31542.09</v>
      </c>
      <c r="AB14">
        <v>6172.91</v>
      </c>
      <c r="AC14">
        <v>1955.69</v>
      </c>
      <c r="AD14">
        <v>2345.31</v>
      </c>
      <c r="AE14">
        <v>2685.09</v>
      </c>
      <c r="AF14">
        <v>1903.2</v>
      </c>
      <c r="AG14">
        <v>2554.06</v>
      </c>
      <c r="AH14">
        <v>6674.51</v>
      </c>
      <c r="AI14">
        <v>3231.41</v>
      </c>
      <c r="AJ14">
        <v>1521.88</v>
      </c>
      <c r="AK14">
        <v>6555.64</v>
      </c>
      <c r="AL14" s="6">
        <v>41520.160000000003</v>
      </c>
      <c r="AM14">
        <v>13336.51</v>
      </c>
      <c r="AN14">
        <v>19329.060000000001</v>
      </c>
      <c r="AO14">
        <v>3325.93</v>
      </c>
      <c r="AP14">
        <v>5346.48</v>
      </c>
      <c r="AQ14">
        <v>22175.16</v>
      </c>
      <c r="AR14">
        <v>4620.28</v>
      </c>
      <c r="AS14">
        <v>11317.53</v>
      </c>
      <c r="AT14">
        <v>6954.99</v>
      </c>
      <c r="AU14" s="6">
        <v>1388.58</v>
      </c>
      <c r="AV14">
        <v>13071.15</v>
      </c>
      <c r="AW14">
        <v>788.66</v>
      </c>
      <c r="AX14">
        <v>19919.93</v>
      </c>
      <c r="AY14">
        <v>4737.33</v>
      </c>
      <c r="AZ14">
        <v>21975.27</v>
      </c>
      <c r="BA14">
        <v>11296.77</v>
      </c>
      <c r="BB14">
        <v>19254.96</v>
      </c>
      <c r="BC14">
        <v>2482.87</v>
      </c>
      <c r="BD14">
        <v>3111.51</v>
      </c>
      <c r="BE14">
        <v>3139.1</v>
      </c>
      <c r="BF14">
        <v>1362.46</v>
      </c>
      <c r="BG14">
        <v>1509.95</v>
      </c>
      <c r="BH14">
        <v>13399.65</v>
      </c>
      <c r="BI14">
        <v>2884.55</v>
      </c>
      <c r="BJ14">
        <v>3556.01</v>
      </c>
      <c r="BK14">
        <v>15903.46</v>
      </c>
      <c r="BL14">
        <v>2649.04</v>
      </c>
      <c r="BM14">
        <v>1379.31</v>
      </c>
      <c r="BN14">
        <v>10860.65</v>
      </c>
      <c r="BO14">
        <v>2373.88</v>
      </c>
      <c r="BP14">
        <v>1070.44</v>
      </c>
      <c r="BQ14">
        <v>13348.9</v>
      </c>
      <c r="BR14">
        <v>3692.84</v>
      </c>
      <c r="BS14">
        <v>5388.78</v>
      </c>
      <c r="BT14">
        <v>28615.77</v>
      </c>
      <c r="BU14">
        <v>17264.25</v>
      </c>
      <c r="BV14">
        <v>19403.12</v>
      </c>
      <c r="BW14">
        <v>4037.73</v>
      </c>
      <c r="BX14">
        <v>3969.57</v>
      </c>
      <c r="BY14">
        <v>18647.93</v>
      </c>
      <c r="BZ14">
        <v>1967.5</v>
      </c>
      <c r="CA14">
        <v>801.56</v>
      </c>
      <c r="CB14">
        <v>6440.33</v>
      </c>
      <c r="CC14">
        <v>5198.84</v>
      </c>
      <c r="CD14">
        <v>40870.449999999997</v>
      </c>
      <c r="CE14">
        <v>932.72</v>
      </c>
      <c r="CF14">
        <v>2823.56</v>
      </c>
      <c r="CG14">
        <v>1699.52</v>
      </c>
      <c r="CH14">
        <v>4990.76</v>
      </c>
      <c r="CI14">
        <v>2222.36</v>
      </c>
      <c r="CJ14">
        <v>1340.79</v>
      </c>
      <c r="CK14">
        <v>29394.42</v>
      </c>
      <c r="CL14">
        <v>2786.08</v>
      </c>
      <c r="CM14">
        <v>1294.31</v>
      </c>
      <c r="CN14">
        <v>3170.24</v>
      </c>
      <c r="CO14">
        <v>12915.75</v>
      </c>
      <c r="CP14">
        <v>737.67</v>
      </c>
      <c r="CQ14">
        <v>10672</v>
      </c>
      <c r="CR14">
        <v>919.99</v>
      </c>
      <c r="CS14">
        <v>1785.6</v>
      </c>
      <c r="CT14">
        <v>685.03</v>
      </c>
      <c r="CU14">
        <v>2113.2399999999998</v>
      </c>
      <c r="CV14">
        <v>12528.64</v>
      </c>
      <c r="CW14">
        <v>5925.67</v>
      </c>
      <c r="CX14">
        <v>1227.6500000000001</v>
      </c>
      <c r="CY14">
        <v>6709.16</v>
      </c>
      <c r="CZ14">
        <v>6078.99</v>
      </c>
      <c r="DA14">
        <v>1195.49</v>
      </c>
      <c r="DB14">
        <v>5223.96</v>
      </c>
      <c r="DC14">
        <v>4670.8900000000003</v>
      </c>
      <c r="DD14">
        <v>22310.35</v>
      </c>
      <c r="DE14">
        <v>24190.69</v>
      </c>
      <c r="DF14">
        <v>802.62</v>
      </c>
      <c r="DG14">
        <v>17206.97</v>
      </c>
      <c r="DH14">
        <v>12765.95</v>
      </c>
      <c r="DI14">
        <v>2079.09</v>
      </c>
      <c r="DJ14">
        <v>6454.1</v>
      </c>
      <c r="DK14">
        <v>4069.08</v>
      </c>
      <c r="DL14">
        <v>3182.99</v>
      </c>
      <c r="DM14">
        <v>5786.42</v>
      </c>
      <c r="DN14">
        <v>9855.9599999999991</v>
      </c>
      <c r="DO14">
        <v>3548.14</v>
      </c>
      <c r="DP14">
        <v>2391.09</v>
      </c>
      <c r="DQ14">
        <v>6574.12</v>
      </c>
      <c r="DR14">
        <v>1206.6199999999999</v>
      </c>
      <c r="DS14" s="6">
        <v>27211.09</v>
      </c>
      <c r="DT14">
        <v>1786.59</v>
      </c>
      <c r="DU14">
        <v>2268.98</v>
      </c>
      <c r="DV14">
        <v>14364.93</v>
      </c>
      <c r="DW14">
        <v>1254.08</v>
      </c>
      <c r="DX14">
        <v>2271.73</v>
      </c>
      <c r="DY14">
        <v>2098.3000000000002</v>
      </c>
      <c r="DZ14">
        <v>6025.07</v>
      </c>
      <c r="EA14">
        <v>21335.3</v>
      </c>
      <c r="EB14">
        <v>3933.97</v>
      </c>
      <c r="EC14">
        <v>9106.5499999999993</v>
      </c>
      <c r="ED14">
        <v>2384.1999999999998</v>
      </c>
      <c r="EE14">
        <v>7534.84</v>
      </c>
      <c r="EF14">
        <v>801.93</v>
      </c>
      <c r="EG14">
        <v>1628.82</v>
      </c>
      <c r="EH14">
        <v>3364.72</v>
      </c>
      <c r="EI14">
        <v>20449.45</v>
      </c>
      <c r="EJ14">
        <v>4414.93</v>
      </c>
      <c r="EK14">
        <v>8096.94</v>
      </c>
      <c r="EL14">
        <v>10403.23</v>
      </c>
      <c r="EM14">
        <v>1533.5</v>
      </c>
      <c r="EN14">
        <v>820.33</v>
      </c>
      <c r="EO14">
        <v>8583.86</v>
      </c>
      <c r="EP14">
        <v>28218.21</v>
      </c>
      <c r="EQ14">
        <v>4064.36</v>
      </c>
      <c r="ER14">
        <v>9263.24</v>
      </c>
      <c r="ES14">
        <v>6997.11</v>
      </c>
      <c r="ET14">
        <v>996.55</v>
      </c>
      <c r="EU14">
        <v>8958.16</v>
      </c>
      <c r="EV14">
        <v>1563.58</v>
      </c>
      <c r="EW14">
        <v>3206.79</v>
      </c>
    </row>
    <row r="15" spans="1:153" x14ac:dyDescent="0.35">
      <c r="A15">
        <v>1983</v>
      </c>
      <c r="B15">
        <v>17319.98</v>
      </c>
      <c r="C15">
        <v>2831.75</v>
      </c>
      <c r="D15">
        <v>13303.27</v>
      </c>
      <c r="E15">
        <v>3512.87</v>
      </c>
      <c r="F15">
        <v>4319.3100000000004</v>
      </c>
      <c r="G15">
        <v>7627.48</v>
      </c>
      <c r="H15">
        <v>22982.68</v>
      </c>
      <c r="I15">
        <v>18877.810000000001</v>
      </c>
      <c r="J15">
        <v>848.22</v>
      </c>
      <c r="K15">
        <v>19979.18</v>
      </c>
      <c r="L15">
        <v>1468.53</v>
      </c>
      <c r="M15">
        <v>849.23</v>
      </c>
      <c r="N15">
        <v>1128.6400000000001</v>
      </c>
      <c r="O15">
        <v>8112.59</v>
      </c>
      <c r="P15">
        <v>17884.22</v>
      </c>
      <c r="Q15" s="6">
        <v>18486.740000000002</v>
      </c>
      <c r="R15">
        <v>3868.15</v>
      </c>
      <c r="S15">
        <v>26774.46</v>
      </c>
      <c r="T15">
        <v>2075.46</v>
      </c>
      <c r="U15">
        <v>5231.54</v>
      </c>
      <c r="V15">
        <v>12147.71</v>
      </c>
      <c r="W15">
        <v>1976.65</v>
      </c>
      <c r="X15">
        <v>2422.9499999999998</v>
      </c>
      <c r="Y15">
        <v>1033.28</v>
      </c>
      <c r="Z15">
        <v>24963.279999999999</v>
      </c>
      <c r="AA15">
        <v>31678.62</v>
      </c>
      <c r="AB15">
        <v>5954.64</v>
      </c>
      <c r="AC15">
        <v>2059.37</v>
      </c>
      <c r="AD15">
        <v>2327.94</v>
      </c>
      <c r="AE15">
        <v>2948.78</v>
      </c>
      <c r="AF15">
        <v>1911.66</v>
      </c>
      <c r="AG15">
        <v>3038.35</v>
      </c>
      <c r="AH15">
        <v>6496.21</v>
      </c>
      <c r="AI15">
        <v>3360.1</v>
      </c>
      <c r="AJ15">
        <v>1610.15</v>
      </c>
      <c r="AK15">
        <v>6518.42</v>
      </c>
      <c r="AL15" s="6">
        <v>45646.64</v>
      </c>
      <c r="AM15">
        <v>13715.18</v>
      </c>
      <c r="AN15">
        <v>19475.04</v>
      </c>
      <c r="AO15">
        <v>3248.65</v>
      </c>
      <c r="AP15">
        <v>5622.49</v>
      </c>
      <c r="AQ15">
        <v>22387.07</v>
      </c>
      <c r="AR15">
        <v>4762.7</v>
      </c>
      <c r="AS15">
        <v>11564.11</v>
      </c>
      <c r="AT15">
        <v>6587.28</v>
      </c>
      <c r="AU15" s="6">
        <v>1559.56</v>
      </c>
      <c r="AV15">
        <v>12652.37</v>
      </c>
      <c r="AW15">
        <v>884.76</v>
      </c>
      <c r="AX15">
        <v>20026.09</v>
      </c>
      <c r="AY15">
        <v>4536.74</v>
      </c>
      <c r="AZ15">
        <v>21629.71</v>
      </c>
      <c r="BA15">
        <v>12135.81</v>
      </c>
      <c r="BB15">
        <v>19733.04</v>
      </c>
      <c r="BC15">
        <v>2384.87</v>
      </c>
      <c r="BD15">
        <v>3067.24</v>
      </c>
      <c r="BE15">
        <v>2903.51</v>
      </c>
      <c r="BF15">
        <v>1299.6300000000001</v>
      </c>
      <c r="BG15">
        <v>2303.6</v>
      </c>
      <c r="BH15">
        <v>13238.8</v>
      </c>
      <c r="BI15">
        <v>2903.83</v>
      </c>
      <c r="BJ15">
        <v>3486.48</v>
      </c>
      <c r="BK15">
        <v>16303.26</v>
      </c>
      <c r="BL15">
        <v>2514.8000000000002</v>
      </c>
      <c r="BM15">
        <v>1392.2</v>
      </c>
      <c r="BN15">
        <v>10759.98</v>
      </c>
      <c r="BO15">
        <v>2485.87</v>
      </c>
      <c r="BP15">
        <v>1058.8499999999999</v>
      </c>
      <c r="BQ15">
        <v>13243.08</v>
      </c>
      <c r="BR15">
        <v>3616.96</v>
      </c>
      <c r="BS15">
        <v>4637.33</v>
      </c>
      <c r="BT15">
        <v>25207.43</v>
      </c>
      <c r="BU15">
        <v>18034.87</v>
      </c>
      <c r="BV15">
        <v>19234.63</v>
      </c>
      <c r="BW15">
        <v>4076.31</v>
      </c>
      <c r="BX15">
        <v>3908.58</v>
      </c>
      <c r="BY15">
        <v>18148.59</v>
      </c>
      <c r="BZ15">
        <v>1991.42</v>
      </c>
      <c r="CA15">
        <v>808.75</v>
      </c>
      <c r="CB15">
        <v>6566.15</v>
      </c>
      <c r="CC15">
        <v>5804.79</v>
      </c>
      <c r="CD15">
        <v>39755.03</v>
      </c>
      <c r="CE15">
        <v>966.21</v>
      </c>
      <c r="CF15">
        <v>3685.71</v>
      </c>
      <c r="CG15">
        <v>1621.82</v>
      </c>
      <c r="CH15">
        <v>5207.1499999999996</v>
      </c>
      <c r="CI15">
        <v>2269.79</v>
      </c>
      <c r="CJ15">
        <v>1233.5899999999999</v>
      </c>
      <c r="CK15">
        <v>29034.18</v>
      </c>
      <c r="CL15">
        <v>2938.51</v>
      </c>
      <c r="CM15">
        <v>1335.95</v>
      </c>
      <c r="CN15">
        <v>2780</v>
      </c>
      <c r="CO15">
        <v>11988.73</v>
      </c>
      <c r="CP15">
        <v>704.86</v>
      </c>
      <c r="CQ15">
        <v>10157.030000000001</v>
      </c>
      <c r="CR15">
        <v>960.5</v>
      </c>
      <c r="CS15">
        <v>1978.9</v>
      </c>
      <c r="CT15">
        <v>594.89</v>
      </c>
      <c r="CU15">
        <v>2098.8000000000002</v>
      </c>
      <c r="CV15">
        <v>12161.43</v>
      </c>
      <c r="CW15">
        <v>6122.54</v>
      </c>
      <c r="CX15">
        <v>1283.28</v>
      </c>
      <c r="CY15">
        <v>7106.38</v>
      </c>
      <c r="CZ15">
        <v>5674.33</v>
      </c>
      <c r="DA15">
        <v>1161.3</v>
      </c>
      <c r="DB15">
        <v>4984.1099999999997</v>
      </c>
      <c r="DC15">
        <v>4844.0200000000004</v>
      </c>
      <c r="DD15">
        <v>22193.77</v>
      </c>
      <c r="DE15">
        <v>24461.16</v>
      </c>
      <c r="DF15">
        <v>780.87</v>
      </c>
      <c r="DG15">
        <v>17990.41</v>
      </c>
      <c r="DH15">
        <v>12422.5</v>
      </c>
      <c r="DI15">
        <v>2138.9499999999998</v>
      </c>
      <c r="DJ15">
        <v>6513.5</v>
      </c>
      <c r="DK15">
        <v>3702.95</v>
      </c>
      <c r="DL15">
        <v>3128.06</v>
      </c>
      <c r="DM15">
        <v>6216.94</v>
      </c>
      <c r="DN15">
        <v>9659.06</v>
      </c>
      <c r="DO15">
        <v>3351.29</v>
      </c>
      <c r="DP15">
        <v>2229.13</v>
      </c>
      <c r="DQ15">
        <v>6835.85</v>
      </c>
      <c r="DR15">
        <v>1242.44</v>
      </c>
      <c r="DS15" s="6">
        <v>24001.01</v>
      </c>
      <c r="DT15">
        <v>1560.81</v>
      </c>
      <c r="DU15">
        <v>2347.4299999999998</v>
      </c>
      <c r="DV15">
        <v>15599.22</v>
      </c>
      <c r="DW15">
        <v>1201.8900000000001</v>
      </c>
      <c r="DX15">
        <v>2271.8000000000002</v>
      </c>
      <c r="DY15">
        <v>1968.29</v>
      </c>
      <c r="DZ15">
        <v>6041.93</v>
      </c>
      <c r="EA15">
        <v>21685.79</v>
      </c>
      <c r="EB15">
        <v>4126.05</v>
      </c>
      <c r="EC15">
        <v>9951.19</v>
      </c>
      <c r="ED15">
        <v>2107.35</v>
      </c>
      <c r="EE15">
        <v>7929.63</v>
      </c>
      <c r="EF15">
        <v>1047.28</v>
      </c>
      <c r="EG15">
        <v>1484.55</v>
      </c>
      <c r="EH15">
        <v>3456.23</v>
      </c>
      <c r="EI15">
        <v>17725.240000000002</v>
      </c>
      <c r="EJ15">
        <v>4576.08</v>
      </c>
      <c r="EK15">
        <v>8297.9599999999991</v>
      </c>
      <c r="EL15">
        <v>11280.03</v>
      </c>
      <c r="EM15">
        <v>1560.99</v>
      </c>
      <c r="EN15">
        <v>885.94</v>
      </c>
      <c r="EO15">
        <v>7690.1</v>
      </c>
      <c r="EP15">
        <v>29397.84</v>
      </c>
      <c r="EQ15">
        <v>4266.55</v>
      </c>
      <c r="ER15">
        <v>9116.07</v>
      </c>
      <c r="ES15">
        <v>7117.46</v>
      </c>
      <c r="ET15">
        <v>1042.1099999999999</v>
      </c>
      <c r="EU15">
        <v>8935.4</v>
      </c>
      <c r="EV15">
        <v>1583.5</v>
      </c>
      <c r="EW15">
        <v>3603.45</v>
      </c>
    </row>
    <row r="16" spans="1:153" x14ac:dyDescent="0.35">
      <c r="A16">
        <v>1984</v>
      </c>
      <c r="B16">
        <v>18786.71</v>
      </c>
      <c r="C16">
        <v>3035.3</v>
      </c>
      <c r="D16">
        <v>13488.99</v>
      </c>
      <c r="E16">
        <v>3491.63</v>
      </c>
      <c r="F16">
        <v>4539.5</v>
      </c>
      <c r="G16">
        <v>6684.98</v>
      </c>
      <c r="H16">
        <v>23501.09</v>
      </c>
      <c r="I16">
        <v>18864.98</v>
      </c>
      <c r="J16">
        <v>848.56</v>
      </c>
      <c r="K16">
        <v>20022.25</v>
      </c>
      <c r="L16">
        <v>1589.94</v>
      </c>
      <c r="M16">
        <v>838.67</v>
      </c>
      <c r="N16">
        <v>1203.1199999999999</v>
      </c>
      <c r="O16">
        <v>8311.99</v>
      </c>
      <c r="P16">
        <v>19817.72</v>
      </c>
      <c r="Q16" s="6">
        <v>21192.95</v>
      </c>
      <c r="R16">
        <v>3841.03</v>
      </c>
      <c r="S16">
        <v>26379.07</v>
      </c>
      <c r="T16">
        <v>2177.58</v>
      </c>
      <c r="U16">
        <v>5388.61</v>
      </c>
      <c r="V16">
        <v>12627.86</v>
      </c>
      <c r="W16">
        <v>1974.34</v>
      </c>
      <c r="X16">
        <v>2743.88</v>
      </c>
      <c r="Y16">
        <v>1086.75</v>
      </c>
      <c r="Z16">
        <v>26386.22</v>
      </c>
      <c r="AA16">
        <v>32107.3</v>
      </c>
      <c r="AB16">
        <v>5983.13</v>
      </c>
      <c r="AC16">
        <v>2263.1999999999998</v>
      </c>
      <c r="AD16">
        <v>2508.71</v>
      </c>
      <c r="AE16">
        <v>3221.01</v>
      </c>
      <c r="AF16">
        <v>2315.58</v>
      </c>
      <c r="AG16">
        <v>3538.2</v>
      </c>
      <c r="AH16">
        <v>6516.68</v>
      </c>
      <c r="AI16">
        <v>3404.02</v>
      </c>
      <c r="AJ16">
        <v>1639.41</v>
      </c>
      <c r="AK16">
        <v>6877.11</v>
      </c>
      <c r="AL16" s="6">
        <v>47976.58</v>
      </c>
      <c r="AM16">
        <v>15218.85</v>
      </c>
      <c r="AN16">
        <v>19619.86</v>
      </c>
      <c r="AO16">
        <v>3229.96</v>
      </c>
      <c r="AP16">
        <v>5799.79</v>
      </c>
      <c r="AQ16">
        <v>23031.7</v>
      </c>
      <c r="AR16">
        <v>4550.17</v>
      </c>
      <c r="AS16">
        <v>11721.28</v>
      </c>
      <c r="AT16">
        <v>6514.3</v>
      </c>
      <c r="AU16" s="6">
        <v>1720.33</v>
      </c>
      <c r="AV16">
        <v>12441.03</v>
      </c>
      <c r="AW16">
        <v>867.11</v>
      </c>
      <c r="AX16">
        <v>20181.36</v>
      </c>
      <c r="AY16">
        <v>4699.38</v>
      </c>
      <c r="AZ16">
        <v>21227.94</v>
      </c>
      <c r="BA16">
        <v>11642.65</v>
      </c>
      <c r="BB16">
        <v>19932.14</v>
      </c>
      <c r="BC16">
        <v>2512.02</v>
      </c>
      <c r="BD16">
        <v>3037.37</v>
      </c>
      <c r="BE16">
        <v>2873.42</v>
      </c>
      <c r="BF16">
        <v>1296.58</v>
      </c>
      <c r="BG16">
        <v>2183.4299999999998</v>
      </c>
      <c r="BH16">
        <v>13382.99</v>
      </c>
      <c r="BI16">
        <v>3075.97</v>
      </c>
      <c r="BJ16">
        <v>3467.19</v>
      </c>
      <c r="BK16">
        <v>17807.05</v>
      </c>
      <c r="BL16">
        <v>2590.44</v>
      </c>
      <c r="BM16">
        <v>1417.36</v>
      </c>
      <c r="BN16">
        <v>10873.82</v>
      </c>
      <c r="BO16">
        <v>2595.16</v>
      </c>
      <c r="BP16">
        <v>1030.92</v>
      </c>
      <c r="BQ16">
        <v>13451.05</v>
      </c>
      <c r="BR16">
        <v>3194.15</v>
      </c>
      <c r="BS16">
        <v>4569.1499999999996</v>
      </c>
      <c r="BT16">
        <v>27402.44</v>
      </c>
      <c r="BU16">
        <v>17717.88</v>
      </c>
      <c r="BV16">
        <v>19490.41</v>
      </c>
      <c r="BW16">
        <v>4103.1000000000004</v>
      </c>
      <c r="BX16">
        <v>4341.1499999999996</v>
      </c>
      <c r="BY16">
        <v>18071.599999999999</v>
      </c>
      <c r="BZ16">
        <v>2071.9299999999998</v>
      </c>
      <c r="CA16">
        <v>817.07</v>
      </c>
      <c r="CB16">
        <v>7183.27</v>
      </c>
      <c r="CC16">
        <v>6331.12</v>
      </c>
      <c r="CD16">
        <v>38706.1</v>
      </c>
      <c r="CE16">
        <v>946.75</v>
      </c>
      <c r="CF16">
        <v>5422.9</v>
      </c>
      <c r="CG16">
        <v>1492.02</v>
      </c>
      <c r="CH16">
        <v>5509.21</v>
      </c>
      <c r="CI16">
        <v>2392.29</v>
      </c>
      <c r="CJ16">
        <v>1229.18</v>
      </c>
      <c r="CK16">
        <v>29561.21</v>
      </c>
      <c r="CL16">
        <v>3063.16</v>
      </c>
      <c r="CM16">
        <v>1347.01</v>
      </c>
      <c r="CN16">
        <v>3070.12</v>
      </c>
      <c r="CO16">
        <v>11991.74</v>
      </c>
      <c r="CP16">
        <v>695.6</v>
      </c>
      <c r="CQ16">
        <v>10080.74</v>
      </c>
      <c r="CR16">
        <v>1006.68</v>
      </c>
      <c r="CS16">
        <v>2188.11</v>
      </c>
      <c r="CT16">
        <v>624.4</v>
      </c>
      <c r="CU16">
        <v>2011.95</v>
      </c>
      <c r="CV16">
        <v>12849.68</v>
      </c>
      <c r="CW16">
        <v>6219.29</v>
      </c>
      <c r="CX16">
        <v>1355.44</v>
      </c>
      <c r="CY16">
        <v>7696.18</v>
      </c>
      <c r="CZ16">
        <v>5727.23</v>
      </c>
      <c r="DA16">
        <v>870.59</v>
      </c>
      <c r="DB16">
        <v>4450.32</v>
      </c>
      <c r="DC16">
        <v>4698.6000000000004</v>
      </c>
      <c r="DD16">
        <v>22641.09</v>
      </c>
      <c r="DE16">
        <v>25805.3</v>
      </c>
      <c r="DF16">
        <v>826.21</v>
      </c>
      <c r="DG16">
        <v>18610.2</v>
      </c>
      <c r="DH16">
        <v>13063.71</v>
      </c>
      <c r="DI16">
        <v>2198.67</v>
      </c>
      <c r="DJ16">
        <v>6353.94</v>
      </c>
      <c r="DK16">
        <v>3856.5</v>
      </c>
      <c r="DL16">
        <v>2897.69</v>
      </c>
      <c r="DM16">
        <v>6754.48</v>
      </c>
      <c r="DN16">
        <v>9298.77</v>
      </c>
      <c r="DO16">
        <v>3350.41</v>
      </c>
      <c r="DP16">
        <v>2273.7199999999998</v>
      </c>
      <c r="DQ16">
        <v>7147.08</v>
      </c>
      <c r="DR16">
        <v>1165.44</v>
      </c>
      <c r="DS16" s="6">
        <v>21548.57</v>
      </c>
      <c r="DT16">
        <v>1523.43</v>
      </c>
      <c r="DU16">
        <v>2426.65</v>
      </c>
      <c r="DV16">
        <v>16431.439999999999</v>
      </c>
      <c r="DW16">
        <v>1228.3</v>
      </c>
      <c r="DX16">
        <v>2330.9699999999998</v>
      </c>
      <c r="DY16">
        <v>1886.39</v>
      </c>
      <c r="DZ16">
        <v>5854.57</v>
      </c>
      <c r="EA16">
        <v>22829.72</v>
      </c>
      <c r="EB16">
        <v>4008.31</v>
      </c>
      <c r="EC16">
        <v>10844.35</v>
      </c>
      <c r="ED16">
        <v>1887.01</v>
      </c>
      <c r="EE16">
        <v>8373.42</v>
      </c>
      <c r="EF16">
        <v>1079.75</v>
      </c>
      <c r="EG16">
        <v>1457.43</v>
      </c>
      <c r="EH16">
        <v>3635.4</v>
      </c>
      <c r="EI16">
        <v>16531.310000000001</v>
      </c>
      <c r="EJ16">
        <v>4667.22</v>
      </c>
      <c r="EK16">
        <v>8550.59</v>
      </c>
      <c r="EL16">
        <v>12325.87</v>
      </c>
      <c r="EM16">
        <v>1634.68</v>
      </c>
      <c r="EN16">
        <v>844.11</v>
      </c>
      <c r="EO16">
        <v>7512.96</v>
      </c>
      <c r="EP16">
        <v>31519.54</v>
      </c>
      <c r="EQ16">
        <v>4483.3999999999996</v>
      </c>
      <c r="ER16">
        <v>9217.86</v>
      </c>
      <c r="ES16">
        <v>7139.55</v>
      </c>
      <c r="ET16">
        <v>1104.73</v>
      </c>
      <c r="EU16">
        <v>8959.18</v>
      </c>
      <c r="EV16">
        <v>1829.18</v>
      </c>
      <c r="EW16">
        <v>3311.18</v>
      </c>
    </row>
    <row r="17" spans="1:153" x14ac:dyDescent="0.35">
      <c r="A17">
        <v>1985</v>
      </c>
      <c r="B17">
        <v>20291.650000000001</v>
      </c>
      <c r="C17">
        <v>2990.91</v>
      </c>
      <c r="D17">
        <v>14930.29</v>
      </c>
      <c r="E17">
        <v>3441.53</v>
      </c>
      <c r="F17">
        <v>4285.32</v>
      </c>
      <c r="G17">
        <v>7326.3</v>
      </c>
      <c r="H17">
        <v>23864.79</v>
      </c>
      <c r="I17">
        <v>19237.47</v>
      </c>
      <c r="J17">
        <v>912.88</v>
      </c>
      <c r="K17">
        <v>19816.93</v>
      </c>
      <c r="L17">
        <v>1682.41</v>
      </c>
      <c r="M17">
        <v>906.43</v>
      </c>
      <c r="N17">
        <v>1218.6300000000001</v>
      </c>
      <c r="O17">
        <v>8700.7900000000009</v>
      </c>
      <c r="P17">
        <v>14578.35</v>
      </c>
      <c r="Q17" s="6">
        <v>23313.49</v>
      </c>
      <c r="R17">
        <v>4246.8100000000004</v>
      </c>
      <c r="S17">
        <v>27728.1</v>
      </c>
      <c r="T17">
        <v>2261.21</v>
      </c>
      <c r="U17">
        <v>5557.47</v>
      </c>
      <c r="V17">
        <v>12632.23</v>
      </c>
      <c r="W17">
        <v>1997.16</v>
      </c>
      <c r="X17">
        <v>3265.11</v>
      </c>
      <c r="Y17">
        <v>1179.3399999999999</v>
      </c>
      <c r="Z17">
        <v>27560.92</v>
      </c>
      <c r="AA17">
        <v>32528.6</v>
      </c>
      <c r="AB17">
        <v>5963.37</v>
      </c>
      <c r="AC17">
        <v>2407.4699999999998</v>
      </c>
      <c r="AD17">
        <v>2733.76</v>
      </c>
      <c r="AE17">
        <v>3280.17</v>
      </c>
      <c r="AF17">
        <v>2058.9299999999998</v>
      </c>
      <c r="AG17">
        <v>3407.95</v>
      </c>
      <c r="AH17">
        <v>6400.94</v>
      </c>
      <c r="AI17">
        <v>3672.91</v>
      </c>
      <c r="AJ17">
        <v>1676.63</v>
      </c>
      <c r="AK17">
        <v>6925.9</v>
      </c>
      <c r="AL17" s="6">
        <v>45938.55</v>
      </c>
      <c r="AM17">
        <v>15606.5</v>
      </c>
      <c r="AN17">
        <v>19741.64</v>
      </c>
      <c r="AO17">
        <v>3173.55</v>
      </c>
      <c r="AP17">
        <v>5927.51</v>
      </c>
      <c r="AQ17">
        <v>23630.95</v>
      </c>
      <c r="AR17">
        <v>4459.84</v>
      </c>
      <c r="AS17">
        <v>11985.18</v>
      </c>
      <c r="AT17">
        <v>6647.58</v>
      </c>
      <c r="AU17" s="6">
        <v>1793.6</v>
      </c>
      <c r="AV17">
        <v>12314.38</v>
      </c>
      <c r="AW17">
        <v>867.62</v>
      </c>
      <c r="AX17">
        <v>20366.13</v>
      </c>
      <c r="AY17">
        <v>4757.45</v>
      </c>
      <c r="AZ17">
        <v>20980.98</v>
      </c>
      <c r="BA17">
        <v>10438.86</v>
      </c>
      <c r="BB17">
        <v>20479.29</v>
      </c>
      <c r="BC17">
        <v>2631.11</v>
      </c>
      <c r="BD17">
        <v>3102.12</v>
      </c>
      <c r="BE17">
        <v>2850.39</v>
      </c>
      <c r="BF17">
        <v>1101.2</v>
      </c>
      <c r="BG17">
        <v>2267.36</v>
      </c>
      <c r="BH17">
        <v>13777.67</v>
      </c>
      <c r="BI17">
        <v>3264.31</v>
      </c>
      <c r="BJ17">
        <v>3360.35</v>
      </c>
      <c r="BK17">
        <v>18188.38</v>
      </c>
      <c r="BL17">
        <v>2605.71</v>
      </c>
      <c r="BM17">
        <v>1424.18</v>
      </c>
      <c r="BN17">
        <v>10750.51</v>
      </c>
      <c r="BO17">
        <v>2620.1799999999998</v>
      </c>
      <c r="BP17">
        <v>1021.85</v>
      </c>
      <c r="BQ17">
        <v>13596.22</v>
      </c>
      <c r="BR17">
        <v>3090.65</v>
      </c>
      <c r="BS17">
        <v>4543.93</v>
      </c>
      <c r="BT17">
        <v>26967.52</v>
      </c>
      <c r="BU17">
        <v>17841.18</v>
      </c>
      <c r="BV17">
        <v>19678.669999999998</v>
      </c>
      <c r="BW17">
        <v>3774.21</v>
      </c>
      <c r="BX17">
        <v>4120.49</v>
      </c>
      <c r="BY17">
        <v>18393.28</v>
      </c>
      <c r="BZ17">
        <v>2050.52</v>
      </c>
      <c r="CA17">
        <v>823.11</v>
      </c>
      <c r="CB17">
        <v>7550.12</v>
      </c>
      <c r="CC17">
        <v>6669.4</v>
      </c>
      <c r="CD17">
        <v>34976.92</v>
      </c>
      <c r="CE17">
        <v>1015.34</v>
      </c>
      <c r="CF17">
        <v>6211.89</v>
      </c>
      <c r="CG17">
        <v>1483.84</v>
      </c>
      <c r="CH17">
        <v>5917.65</v>
      </c>
      <c r="CI17">
        <v>2533.2399999999998</v>
      </c>
      <c r="CJ17">
        <v>1261.25</v>
      </c>
      <c r="CK17">
        <v>29806.44</v>
      </c>
      <c r="CL17">
        <v>3298.4</v>
      </c>
      <c r="CM17">
        <v>1362.86</v>
      </c>
      <c r="CN17">
        <v>3345.92</v>
      </c>
      <c r="CO17">
        <v>11914.21</v>
      </c>
      <c r="CP17">
        <v>867.97</v>
      </c>
      <c r="CQ17">
        <v>10213.61</v>
      </c>
      <c r="CR17">
        <v>1004.88</v>
      </c>
      <c r="CS17">
        <v>2139.6799999999998</v>
      </c>
      <c r="CT17">
        <v>575.98</v>
      </c>
      <c r="CU17">
        <v>2025.05</v>
      </c>
      <c r="CV17">
        <v>13896.31</v>
      </c>
      <c r="CW17">
        <v>6517.16</v>
      </c>
      <c r="CX17">
        <v>1441.06</v>
      </c>
      <c r="CY17">
        <v>7172.13</v>
      </c>
      <c r="CZ17">
        <v>6206.75</v>
      </c>
      <c r="DA17">
        <v>925.89</v>
      </c>
      <c r="DB17">
        <v>4752.62</v>
      </c>
      <c r="DC17">
        <v>4757.5</v>
      </c>
      <c r="DD17">
        <v>22606.880000000001</v>
      </c>
      <c r="DE17">
        <v>26529.55</v>
      </c>
      <c r="DF17">
        <v>856.87</v>
      </c>
      <c r="DG17">
        <v>18534.849999999999</v>
      </c>
      <c r="DH17">
        <v>14032.09</v>
      </c>
      <c r="DI17">
        <v>2263.86</v>
      </c>
      <c r="DJ17">
        <v>6382.72</v>
      </c>
      <c r="DK17">
        <v>3881.19</v>
      </c>
      <c r="DL17">
        <v>2691.81</v>
      </c>
      <c r="DM17">
        <v>7295.89</v>
      </c>
      <c r="DN17">
        <v>9609.0400000000009</v>
      </c>
      <c r="DO17">
        <v>3376.43</v>
      </c>
      <c r="DP17">
        <v>2186.86</v>
      </c>
      <c r="DQ17">
        <v>7295.63</v>
      </c>
      <c r="DR17">
        <v>1176.57</v>
      </c>
      <c r="DS17" s="6">
        <v>17652.04</v>
      </c>
      <c r="DT17">
        <v>1499.61</v>
      </c>
      <c r="DU17">
        <v>2613.41</v>
      </c>
      <c r="DV17">
        <v>15466.75</v>
      </c>
      <c r="DW17">
        <v>1217.6500000000001</v>
      </c>
      <c r="DX17">
        <v>2394.81</v>
      </c>
      <c r="DY17">
        <v>1929.65</v>
      </c>
      <c r="DZ17">
        <v>6439.85</v>
      </c>
      <c r="EA17">
        <v>23377.02</v>
      </c>
      <c r="EB17">
        <v>3964.04</v>
      </c>
      <c r="EC17">
        <v>11315.15</v>
      </c>
      <c r="ED17">
        <v>1824.97</v>
      </c>
      <c r="EE17">
        <v>8866.69</v>
      </c>
      <c r="EF17">
        <v>1124.97</v>
      </c>
      <c r="EG17">
        <v>1438.07</v>
      </c>
      <c r="EH17">
        <v>3724.57</v>
      </c>
      <c r="EI17">
        <v>16238.41</v>
      </c>
      <c r="EJ17">
        <v>4863.17</v>
      </c>
      <c r="EK17">
        <v>8895.82</v>
      </c>
      <c r="EL17">
        <v>12722.37</v>
      </c>
      <c r="EM17">
        <v>1810.01</v>
      </c>
      <c r="EN17">
        <v>799.92</v>
      </c>
      <c r="EO17">
        <v>7456.14</v>
      </c>
      <c r="EP17">
        <v>32548.87</v>
      </c>
      <c r="EQ17">
        <v>4637.99</v>
      </c>
      <c r="ER17">
        <v>8730</v>
      </c>
      <c r="ES17">
        <v>6919.57</v>
      </c>
      <c r="ET17">
        <v>1139.95</v>
      </c>
      <c r="EU17">
        <v>8739.4</v>
      </c>
      <c r="EV17">
        <v>1981.22</v>
      </c>
      <c r="EW17">
        <v>3501.88</v>
      </c>
    </row>
    <row r="18" spans="1:153" x14ac:dyDescent="0.35">
      <c r="A18">
        <v>1986</v>
      </c>
      <c r="B18">
        <v>22369.06</v>
      </c>
      <c r="C18">
        <v>2508.11</v>
      </c>
      <c r="D18">
        <v>17797.09</v>
      </c>
      <c r="E18">
        <v>3549.33</v>
      </c>
      <c r="F18">
        <v>4806.08</v>
      </c>
      <c r="G18">
        <v>8983.89</v>
      </c>
      <c r="H18">
        <v>23865.3</v>
      </c>
      <c r="I18">
        <v>20130.43</v>
      </c>
      <c r="J18">
        <v>928.89</v>
      </c>
      <c r="K18">
        <v>20815.16</v>
      </c>
      <c r="L18">
        <v>1469.24</v>
      </c>
      <c r="M18">
        <v>949.25</v>
      </c>
      <c r="N18">
        <v>1222.6300000000001</v>
      </c>
      <c r="O18">
        <v>8715.66</v>
      </c>
      <c r="P18">
        <v>13193.5</v>
      </c>
      <c r="Q18" s="6">
        <v>23808.880000000001</v>
      </c>
      <c r="R18">
        <v>4589.6400000000003</v>
      </c>
      <c r="S18">
        <v>29462.87</v>
      </c>
      <c r="T18">
        <v>2159.19</v>
      </c>
      <c r="U18">
        <v>6152.56</v>
      </c>
      <c r="V18">
        <v>13844.23</v>
      </c>
      <c r="W18">
        <v>2077.35</v>
      </c>
      <c r="X18">
        <v>3942.72</v>
      </c>
      <c r="Y18">
        <v>1124.23</v>
      </c>
      <c r="Z18">
        <v>27725.43</v>
      </c>
      <c r="AA18">
        <v>34103.21</v>
      </c>
      <c r="AB18">
        <v>6148.98</v>
      </c>
      <c r="AC18">
        <v>2472.13</v>
      </c>
      <c r="AD18">
        <v>2687.9</v>
      </c>
      <c r="AE18">
        <v>3023.06</v>
      </c>
      <c r="AF18">
        <v>1857.04</v>
      </c>
      <c r="AG18">
        <v>2237.81</v>
      </c>
      <c r="AH18">
        <v>6767.92</v>
      </c>
      <c r="AI18">
        <v>4145.47</v>
      </c>
      <c r="AJ18">
        <v>1856.58</v>
      </c>
      <c r="AK18">
        <v>7495.78</v>
      </c>
      <c r="AL18" s="6">
        <v>48437.5</v>
      </c>
      <c r="AM18">
        <v>16047.15</v>
      </c>
      <c r="AN18">
        <v>21090.98</v>
      </c>
      <c r="AO18">
        <v>2995.87</v>
      </c>
      <c r="AP18">
        <v>6565.49</v>
      </c>
      <c r="AQ18">
        <v>25218.400000000001</v>
      </c>
      <c r="AR18">
        <v>4613.91</v>
      </c>
      <c r="AS18">
        <v>9986.6</v>
      </c>
      <c r="AT18">
        <v>6143.3</v>
      </c>
      <c r="AU18" s="6">
        <v>1763.28</v>
      </c>
      <c r="AV18">
        <v>13154.29</v>
      </c>
      <c r="AW18">
        <v>847.85</v>
      </c>
      <c r="AX18">
        <v>21238.14</v>
      </c>
      <c r="AY18">
        <v>4782.3900000000003</v>
      </c>
      <c r="AZ18">
        <v>21827.439999999999</v>
      </c>
      <c r="BA18">
        <v>8201.9500000000007</v>
      </c>
      <c r="BB18">
        <v>20701.07</v>
      </c>
      <c r="BC18">
        <v>2617.44</v>
      </c>
      <c r="BD18">
        <v>3080.24</v>
      </c>
      <c r="BE18">
        <v>2777.83</v>
      </c>
      <c r="BF18">
        <v>1326.45</v>
      </c>
      <c r="BG18">
        <v>1881.26</v>
      </c>
      <c r="BH18">
        <v>14374.25</v>
      </c>
      <c r="BI18">
        <v>3275.58</v>
      </c>
      <c r="BJ18">
        <v>3455.13</v>
      </c>
      <c r="BK18">
        <v>19212.310000000001</v>
      </c>
      <c r="BL18">
        <v>2688.04</v>
      </c>
      <c r="BM18">
        <v>1426.01</v>
      </c>
      <c r="BN18">
        <v>11058.25</v>
      </c>
      <c r="BO18">
        <v>2576.9</v>
      </c>
      <c r="BP18">
        <v>1057.8800000000001</v>
      </c>
      <c r="BQ18">
        <v>13934.02</v>
      </c>
      <c r="BR18">
        <v>2717.89</v>
      </c>
      <c r="BS18">
        <v>4728.8</v>
      </c>
      <c r="BT18">
        <v>28296.51</v>
      </c>
      <c r="BU18">
        <v>18692.64</v>
      </c>
      <c r="BV18">
        <v>20928.73</v>
      </c>
      <c r="BW18">
        <v>4050.57</v>
      </c>
      <c r="BX18">
        <v>4203.54</v>
      </c>
      <c r="BY18">
        <v>19560.34</v>
      </c>
      <c r="BZ18">
        <v>2139.81</v>
      </c>
      <c r="CA18">
        <v>833.65</v>
      </c>
      <c r="CB18">
        <v>8378.9</v>
      </c>
      <c r="CC18">
        <v>7667.56</v>
      </c>
      <c r="CD18">
        <v>25703.06</v>
      </c>
      <c r="CE18">
        <v>1035.8499999999999</v>
      </c>
      <c r="CF18">
        <v>5513.48</v>
      </c>
      <c r="CG18">
        <v>1446.14</v>
      </c>
      <c r="CH18">
        <v>6500.8</v>
      </c>
      <c r="CI18">
        <v>2653.86</v>
      </c>
      <c r="CJ18">
        <v>1208.52</v>
      </c>
      <c r="CK18">
        <v>32771.660000000003</v>
      </c>
      <c r="CL18">
        <v>3643.61</v>
      </c>
      <c r="CM18">
        <v>1611.8</v>
      </c>
      <c r="CN18">
        <v>3537.63</v>
      </c>
      <c r="CO18">
        <v>10932.36</v>
      </c>
      <c r="CP18">
        <v>882.33</v>
      </c>
      <c r="CQ18">
        <v>10572.95</v>
      </c>
      <c r="CR18">
        <v>980.45</v>
      </c>
      <c r="CS18">
        <v>2248.56</v>
      </c>
      <c r="CT18">
        <v>588.52</v>
      </c>
      <c r="CU18">
        <v>2043.86</v>
      </c>
      <c r="CV18">
        <v>14841.55</v>
      </c>
      <c r="CW18">
        <v>7615.59</v>
      </c>
      <c r="CX18">
        <v>1271.3800000000001</v>
      </c>
      <c r="CY18">
        <v>6383.57</v>
      </c>
      <c r="CZ18">
        <v>6059.72</v>
      </c>
      <c r="DA18">
        <v>903.33</v>
      </c>
      <c r="DB18">
        <v>1443.23</v>
      </c>
      <c r="DC18">
        <v>4434.54</v>
      </c>
      <c r="DD18">
        <v>23220.58</v>
      </c>
      <c r="DE18">
        <v>25866.92</v>
      </c>
      <c r="DF18">
        <v>879.14</v>
      </c>
      <c r="DG18">
        <v>19434.78</v>
      </c>
      <c r="DH18">
        <v>10191.82</v>
      </c>
      <c r="DI18">
        <v>2286.2600000000002</v>
      </c>
      <c r="DJ18">
        <v>6716.88</v>
      </c>
      <c r="DK18">
        <v>4152.58</v>
      </c>
      <c r="DL18">
        <v>2782.38</v>
      </c>
      <c r="DM18">
        <v>7677.6</v>
      </c>
      <c r="DN18">
        <v>10640.51</v>
      </c>
      <c r="DO18">
        <v>3255.62</v>
      </c>
      <c r="DP18">
        <v>2529.4699999999998</v>
      </c>
      <c r="DQ18">
        <v>7497.73</v>
      </c>
      <c r="DR18">
        <v>1183.18</v>
      </c>
      <c r="DS18" s="6">
        <v>17222.169999999998</v>
      </c>
      <c r="DT18">
        <v>1595.11</v>
      </c>
      <c r="DU18">
        <v>2688.4</v>
      </c>
      <c r="DV18">
        <v>15110.09</v>
      </c>
      <c r="DW18">
        <v>1207.56</v>
      </c>
      <c r="DX18">
        <v>2524.48</v>
      </c>
      <c r="DY18">
        <v>1796.67</v>
      </c>
      <c r="DZ18">
        <v>6078.68</v>
      </c>
      <c r="EA18">
        <v>24445.17</v>
      </c>
      <c r="EB18">
        <v>4619.07</v>
      </c>
      <c r="EC18">
        <v>10953.43</v>
      </c>
      <c r="ED18">
        <v>1586.03</v>
      </c>
      <c r="EE18">
        <v>9440.6200000000008</v>
      </c>
      <c r="EF18">
        <v>1080.44</v>
      </c>
      <c r="EG18">
        <v>1444.36</v>
      </c>
      <c r="EH18">
        <v>3785</v>
      </c>
      <c r="EI18">
        <v>13556.44</v>
      </c>
      <c r="EJ18">
        <v>4672.3900000000003</v>
      </c>
      <c r="EK18">
        <v>9242.7800000000007</v>
      </c>
      <c r="EL18">
        <v>14600.95</v>
      </c>
      <c r="EM18">
        <v>1207.0999999999999</v>
      </c>
      <c r="EN18">
        <v>776.86</v>
      </c>
      <c r="EO18">
        <v>8381.9599999999991</v>
      </c>
      <c r="EP18">
        <v>33284.58</v>
      </c>
      <c r="EQ18">
        <v>4896.45</v>
      </c>
      <c r="ER18">
        <v>7852.98</v>
      </c>
      <c r="ES18">
        <v>6872.47</v>
      </c>
      <c r="ET18">
        <v>1149.1500000000001</v>
      </c>
      <c r="EU18">
        <v>8373.9500000000007</v>
      </c>
      <c r="EV18">
        <v>1645.68</v>
      </c>
      <c r="EW18">
        <v>3515.02</v>
      </c>
    </row>
    <row r="19" spans="1:153" x14ac:dyDescent="0.35">
      <c r="A19">
        <v>1987</v>
      </c>
      <c r="B19">
        <v>26620.959999999999</v>
      </c>
      <c r="C19">
        <v>2777.73</v>
      </c>
      <c r="D19">
        <v>18874.25</v>
      </c>
      <c r="E19">
        <v>3514.56</v>
      </c>
      <c r="F19">
        <v>5090.8500000000004</v>
      </c>
      <c r="G19">
        <v>9594.0400000000009</v>
      </c>
      <c r="H19">
        <v>25249.25</v>
      </c>
      <c r="I19">
        <v>20923.61</v>
      </c>
      <c r="J19">
        <v>884.57</v>
      </c>
      <c r="K19">
        <v>21556.43</v>
      </c>
      <c r="L19">
        <v>1325.62</v>
      </c>
      <c r="M19">
        <v>918.32</v>
      </c>
      <c r="N19">
        <v>1204.5</v>
      </c>
      <c r="O19">
        <v>9560.74</v>
      </c>
      <c r="P19">
        <v>12593.47</v>
      </c>
      <c r="Q19" s="6">
        <v>23922.21</v>
      </c>
      <c r="R19">
        <v>4979.57</v>
      </c>
      <c r="S19">
        <v>30456.73</v>
      </c>
      <c r="T19">
        <v>2185.02</v>
      </c>
      <c r="U19">
        <v>6242.55</v>
      </c>
      <c r="V19">
        <v>14544.17</v>
      </c>
      <c r="W19">
        <v>2291.2800000000002</v>
      </c>
      <c r="X19">
        <v>4291.13</v>
      </c>
      <c r="Y19">
        <v>1020.32</v>
      </c>
      <c r="Z19">
        <v>28952.62</v>
      </c>
      <c r="AA19">
        <v>34567.56</v>
      </c>
      <c r="AB19">
        <v>6462.56</v>
      </c>
      <c r="AC19">
        <v>2583.98</v>
      </c>
      <c r="AD19">
        <v>2475.42</v>
      </c>
      <c r="AE19">
        <v>2889.08</v>
      </c>
      <c r="AF19">
        <v>1810.76</v>
      </c>
      <c r="AG19">
        <v>2213.06</v>
      </c>
      <c r="AH19">
        <v>6642.87</v>
      </c>
      <c r="AI19">
        <v>4039.82</v>
      </c>
      <c r="AJ19">
        <v>1948.47</v>
      </c>
      <c r="AK19">
        <v>7210.92</v>
      </c>
      <c r="AL19" s="6">
        <v>49926.38</v>
      </c>
      <c r="AM19">
        <v>17217.400000000001</v>
      </c>
      <c r="AN19">
        <v>21827.08</v>
      </c>
      <c r="AO19">
        <v>2733.02</v>
      </c>
      <c r="AP19">
        <v>6870.54</v>
      </c>
      <c r="AQ19">
        <v>25266.92</v>
      </c>
      <c r="AR19">
        <v>4752.16</v>
      </c>
      <c r="AS19">
        <v>9067.5300000000007</v>
      </c>
      <c r="AT19">
        <v>5873.61</v>
      </c>
      <c r="AU19" s="6">
        <v>1768.07</v>
      </c>
      <c r="AV19">
        <v>14129.01</v>
      </c>
      <c r="AW19">
        <v>852.53</v>
      </c>
      <c r="AX19">
        <v>22136.43</v>
      </c>
      <c r="AY19">
        <v>4750.2</v>
      </c>
      <c r="AZ19">
        <v>22287</v>
      </c>
      <c r="BA19">
        <v>7385.64</v>
      </c>
      <c r="BB19">
        <v>21520.2</v>
      </c>
      <c r="BC19">
        <v>2603.56</v>
      </c>
      <c r="BD19">
        <v>3085.22</v>
      </c>
      <c r="BE19">
        <v>2691.34</v>
      </c>
      <c r="BF19">
        <v>1330.13</v>
      </c>
      <c r="BG19">
        <v>2003.39</v>
      </c>
      <c r="BH19">
        <v>14237.33</v>
      </c>
      <c r="BI19">
        <v>3750.72</v>
      </c>
      <c r="BJ19">
        <v>3344.88</v>
      </c>
      <c r="BK19">
        <v>21355.52</v>
      </c>
      <c r="BL19">
        <v>2731.04</v>
      </c>
      <c r="BM19">
        <v>1391.58</v>
      </c>
      <c r="BN19">
        <v>11840.81</v>
      </c>
      <c r="BO19">
        <v>2642.77</v>
      </c>
      <c r="BP19">
        <v>1103.96</v>
      </c>
      <c r="BQ19">
        <v>14487.31</v>
      </c>
      <c r="BR19">
        <v>2744.63</v>
      </c>
      <c r="BS19">
        <v>5549.71</v>
      </c>
      <c r="BT19">
        <v>31526.91</v>
      </c>
      <c r="BU19">
        <v>19840.71</v>
      </c>
      <c r="BV19">
        <v>21932.15</v>
      </c>
      <c r="BW19">
        <v>4353.3100000000004</v>
      </c>
      <c r="BX19">
        <v>4520.7700000000004</v>
      </c>
      <c r="BY19">
        <v>20731.03</v>
      </c>
      <c r="BZ19">
        <v>2071.83</v>
      </c>
      <c r="CA19">
        <v>973.59</v>
      </c>
      <c r="CB19">
        <v>8988.2800000000007</v>
      </c>
      <c r="CC19">
        <v>8760.7000000000007</v>
      </c>
      <c r="CD19">
        <v>28660.080000000002</v>
      </c>
      <c r="CE19">
        <v>1015.19</v>
      </c>
      <c r="CF19">
        <v>6657.14</v>
      </c>
      <c r="CG19">
        <v>1505.76</v>
      </c>
      <c r="CH19">
        <v>6672.08</v>
      </c>
      <c r="CI19">
        <v>2728.17</v>
      </c>
      <c r="CJ19">
        <v>1270.0899999999999</v>
      </c>
      <c r="CK19">
        <v>33788.35</v>
      </c>
      <c r="CL19">
        <v>3663.97</v>
      </c>
      <c r="CM19">
        <v>1483.24</v>
      </c>
      <c r="CN19">
        <v>3723.56</v>
      </c>
      <c r="CO19">
        <v>11012.29</v>
      </c>
      <c r="CP19">
        <v>784.78</v>
      </c>
      <c r="CQ19">
        <v>10958.65</v>
      </c>
      <c r="CR19">
        <v>925.6</v>
      </c>
      <c r="CS19">
        <v>2379.7800000000002</v>
      </c>
      <c r="CT19">
        <v>519.53</v>
      </c>
      <c r="CU19">
        <v>2034.22</v>
      </c>
      <c r="CV19">
        <v>15693.09</v>
      </c>
      <c r="CW19">
        <v>8556.57</v>
      </c>
      <c r="CX19">
        <v>1138.45</v>
      </c>
      <c r="CY19">
        <v>6770.64</v>
      </c>
      <c r="CZ19">
        <v>5576.44</v>
      </c>
      <c r="DA19">
        <v>872.16</v>
      </c>
      <c r="DB19">
        <v>1093.97</v>
      </c>
      <c r="DC19">
        <v>4590.8500000000004</v>
      </c>
      <c r="DD19">
        <v>23161.52</v>
      </c>
      <c r="DE19">
        <v>25787.85</v>
      </c>
      <c r="DF19">
        <v>882.3</v>
      </c>
      <c r="DG19">
        <v>20005.5</v>
      </c>
      <c r="DH19">
        <v>10053.69</v>
      </c>
      <c r="DI19">
        <v>2374.39</v>
      </c>
      <c r="DJ19">
        <v>6952.03</v>
      </c>
      <c r="DK19">
        <v>4573.67</v>
      </c>
      <c r="DL19">
        <v>2958.75</v>
      </c>
      <c r="DM19">
        <v>8055.74</v>
      </c>
      <c r="DN19">
        <v>11483.73</v>
      </c>
      <c r="DO19">
        <v>3287.7</v>
      </c>
      <c r="DP19">
        <v>2378.94</v>
      </c>
      <c r="DQ19">
        <v>7598.83</v>
      </c>
      <c r="DR19">
        <v>1080.97</v>
      </c>
      <c r="DS19" s="6">
        <v>15662.98</v>
      </c>
      <c r="DT19">
        <v>1588.3</v>
      </c>
      <c r="DU19">
        <v>2664.55</v>
      </c>
      <c r="DV19">
        <v>16099.85</v>
      </c>
      <c r="DW19">
        <v>1259.43</v>
      </c>
      <c r="DX19">
        <v>2480.3200000000002</v>
      </c>
      <c r="DY19">
        <v>1699.46</v>
      </c>
      <c r="DZ19">
        <v>5465.06</v>
      </c>
      <c r="EA19">
        <v>25275.29</v>
      </c>
      <c r="EB19">
        <v>5337.27</v>
      </c>
      <c r="EC19">
        <v>13001.53</v>
      </c>
      <c r="ED19">
        <v>1434.02</v>
      </c>
      <c r="EE19">
        <v>10065.61</v>
      </c>
      <c r="EF19">
        <v>1071.69</v>
      </c>
      <c r="EG19">
        <v>1374.39</v>
      </c>
      <c r="EH19">
        <v>3991.55</v>
      </c>
      <c r="EI19">
        <v>12118.37</v>
      </c>
      <c r="EJ19">
        <v>4880.5600000000004</v>
      </c>
      <c r="EK19">
        <v>10086.84</v>
      </c>
      <c r="EL19">
        <v>16096.92</v>
      </c>
      <c r="EM19">
        <v>917.73</v>
      </c>
      <c r="EN19">
        <v>804.69</v>
      </c>
      <c r="EO19">
        <v>9143.7199999999993</v>
      </c>
      <c r="EP19">
        <v>34007.19</v>
      </c>
      <c r="EQ19">
        <v>4903.03</v>
      </c>
      <c r="ER19">
        <v>8048.98</v>
      </c>
      <c r="ES19">
        <v>7519.8</v>
      </c>
      <c r="ET19">
        <v>1155.93</v>
      </c>
      <c r="EU19">
        <v>8531.5499999999993</v>
      </c>
      <c r="EV19">
        <v>1725.35</v>
      </c>
      <c r="EW19">
        <v>3413.95</v>
      </c>
    </row>
    <row r="20" spans="1:153" x14ac:dyDescent="0.35">
      <c r="A20">
        <v>1988</v>
      </c>
      <c r="B20">
        <v>30935.91</v>
      </c>
      <c r="C20">
        <v>2572.6</v>
      </c>
      <c r="D20">
        <v>18247.02</v>
      </c>
      <c r="E20">
        <v>3360.62</v>
      </c>
      <c r="F20">
        <v>5259.07</v>
      </c>
      <c r="G20">
        <v>10764.74</v>
      </c>
      <c r="H20">
        <v>26643.41</v>
      </c>
      <c r="I20">
        <v>22114.58</v>
      </c>
      <c r="J20">
        <v>924.11</v>
      </c>
      <c r="K20">
        <v>23172.12</v>
      </c>
      <c r="L20">
        <v>1329.52</v>
      </c>
      <c r="M20">
        <v>950.72</v>
      </c>
      <c r="N20">
        <v>1214.56</v>
      </c>
      <c r="O20">
        <v>9842.48</v>
      </c>
      <c r="P20">
        <v>13966.15</v>
      </c>
      <c r="Q20" s="6">
        <v>24253.75</v>
      </c>
      <c r="R20">
        <v>5161.53</v>
      </c>
      <c r="S20">
        <v>30416.03</v>
      </c>
      <c r="T20">
        <v>1999.61</v>
      </c>
      <c r="U20">
        <v>6229.4</v>
      </c>
      <c r="V20">
        <v>15479.6</v>
      </c>
      <c r="W20">
        <v>2218.84</v>
      </c>
      <c r="X20">
        <v>4878.08</v>
      </c>
      <c r="Y20">
        <v>1050.32</v>
      </c>
      <c r="Z20">
        <v>30270.080000000002</v>
      </c>
      <c r="AA20">
        <v>35187.99</v>
      </c>
      <c r="AB20">
        <v>7091.84</v>
      </c>
      <c r="AC20">
        <v>2637.58</v>
      </c>
      <c r="AD20">
        <v>2428.65</v>
      </c>
      <c r="AE20">
        <v>2781.27</v>
      </c>
      <c r="AF20">
        <v>1903.99</v>
      </c>
      <c r="AG20">
        <v>1930.18</v>
      </c>
      <c r="AH20">
        <v>6687.52</v>
      </c>
      <c r="AI20">
        <v>3892.33</v>
      </c>
      <c r="AJ20">
        <v>1978.78</v>
      </c>
      <c r="AK20">
        <v>7246.35</v>
      </c>
      <c r="AL20" s="6">
        <v>55157.75</v>
      </c>
      <c r="AM20">
        <v>18348.77</v>
      </c>
      <c r="AN20">
        <v>22925.24</v>
      </c>
      <c r="AO20">
        <v>2527.85</v>
      </c>
      <c r="AP20">
        <v>7255.57</v>
      </c>
      <c r="AQ20">
        <v>25099.27</v>
      </c>
      <c r="AR20">
        <v>5025.78</v>
      </c>
      <c r="AS20">
        <v>8056.23</v>
      </c>
      <c r="AT20">
        <v>5580.87</v>
      </c>
      <c r="AU20" s="6">
        <v>1700.86</v>
      </c>
      <c r="AV20">
        <v>15182.61</v>
      </c>
      <c r="AW20">
        <v>787.98</v>
      </c>
      <c r="AX20">
        <v>23717.07</v>
      </c>
      <c r="AY20">
        <v>4881.08</v>
      </c>
      <c r="AZ20">
        <v>23393.56</v>
      </c>
      <c r="BA20">
        <v>6781.14</v>
      </c>
      <c r="BB20">
        <v>22528.15</v>
      </c>
      <c r="BC20">
        <v>2785.84</v>
      </c>
      <c r="BD20">
        <v>3163.9</v>
      </c>
      <c r="BE20">
        <v>2664.39</v>
      </c>
      <c r="BF20">
        <v>1368.14</v>
      </c>
      <c r="BG20">
        <v>1993.54</v>
      </c>
      <c r="BH20">
        <v>15259.88</v>
      </c>
      <c r="BI20">
        <v>3905.97</v>
      </c>
      <c r="BJ20">
        <v>3438.88</v>
      </c>
      <c r="BK20">
        <v>22637.07</v>
      </c>
      <c r="BL20">
        <v>2847.94</v>
      </c>
      <c r="BM20">
        <v>1368.36</v>
      </c>
      <c r="BN20">
        <v>12215.41</v>
      </c>
      <c r="BO20">
        <v>2701.54</v>
      </c>
      <c r="BP20">
        <v>1173.67</v>
      </c>
      <c r="BQ20">
        <v>15284.83</v>
      </c>
      <c r="BR20">
        <v>2469.02</v>
      </c>
      <c r="BS20">
        <v>5616.32</v>
      </c>
      <c r="BT20">
        <v>31787.19</v>
      </c>
      <c r="BU20">
        <v>20531.54</v>
      </c>
      <c r="BV20">
        <v>23039.65</v>
      </c>
      <c r="BW20">
        <v>4555.0600000000004</v>
      </c>
      <c r="BX20">
        <v>4400.58</v>
      </c>
      <c r="BY20">
        <v>22741.71</v>
      </c>
      <c r="BZ20">
        <v>2110.19</v>
      </c>
      <c r="CA20">
        <v>1067.72</v>
      </c>
      <c r="CB20">
        <v>8909.8700000000008</v>
      </c>
      <c r="CC20">
        <v>9966.32</v>
      </c>
      <c r="CD20">
        <v>23961.37</v>
      </c>
      <c r="CE20">
        <v>1018.32</v>
      </c>
      <c r="CF20">
        <v>4871.67</v>
      </c>
      <c r="CG20">
        <v>1616.99</v>
      </c>
      <c r="CH20">
        <v>7086.86</v>
      </c>
      <c r="CI20">
        <v>2763.59</v>
      </c>
      <c r="CJ20">
        <v>1389.8</v>
      </c>
      <c r="CK20">
        <v>37255.46</v>
      </c>
      <c r="CL20">
        <v>4048.83</v>
      </c>
      <c r="CM20">
        <v>1396.41</v>
      </c>
      <c r="CN20">
        <v>3923.07</v>
      </c>
      <c r="CO20">
        <v>10636.41</v>
      </c>
      <c r="CP20">
        <v>675.8</v>
      </c>
      <c r="CQ20">
        <v>12162.3</v>
      </c>
      <c r="CR20">
        <v>800.59</v>
      </c>
      <c r="CS20">
        <v>2456.6</v>
      </c>
      <c r="CT20">
        <v>501.44</v>
      </c>
      <c r="CU20">
        <v>2041.45</v>
      </c>
      <c r="CV20">
        <v>18342.95</v>
      </c>
      <c r="CW20">
        <v>8764.1299999999992</v>
      </c>
      <c r="CX20">
        <v>1011.4</v>
      </c>
      <c r="CY20">
        <v>7273.17</v>
      </c>
      <c r="CZ20">
        <v>5624.53</v>
      </c>
      <c r="DA20">
        <v>857.18</v>
      </c>
      <c r="DB20">
        <v>952.86</v>
      </c>
      <c r="DC20">
        <v>3131.33</v>
      </c>
      <c r="DD20">
        <v>24029.05</v>
      </c>
      <c r="DE20">
        <v>25317.71</v>
      </c>
      <c r="DF20">
        <v>933.58</v>
      </c>
      <c r="DG20">
        <v>20745.47</v>
      </c>
      <c r="DH20">
        <v>8809.34</v>
      </c>
      <c r="DI20">
        <v>2463.64</v>
      </c>
      <c r="DJ20">
        <v>6123.3</v>
      </c>
      <c r="DK20">
        <v>4242.45</v>
      </c>
      <c r="DL20">
        <v>3186.65</v>
      </c>
      <c r="DM20">
        <v>8591.2099999999991</v>
      </c>
      <c r="DN20">
        <v>12532.27</v>
      </c>
      <c r="DO20">
        <v>3484.34</v>
      </c>
      <c r="DP20">
        <v>2267.41</v>
      </c>
      <c r="DQ20">
        <v>7813.14</v>
      </c>
      <c r="DR20">
        <v>1051.54</v>
      </c>
      <c r="DS20" s="6">
        <v>16568.47</v>
      </c>
      <c r="DT20">
        <v>1611.76</v>
      </c>
      <c r="DU20">
        <v>2669.42</v>
      </c>
      <c r="DV20">
        <v>17165.64</v>
      </c>
      <c r="DW20">
        <v>1275.1300000000001</v>
      </c>
      <c r="DX20">
        <v>2569.4899999999998</v>
      </c>
      <c r="DY20">
        <v>1621.84</v>
      </c>
      <c r="DZ20">
        <v>6174.9</v>
      </c>
      <c r="EA20">
        <v>26104.53</v>
      </c>
      <c r="EB20">
        <v>5237.63</v>
      </c>
      <c r="EC20">
        <v>13763.45</v>
      </c>
      <c r="ED20">
        <v>1466.97</v>
      </c>
      <c r="EE20">
        <v>10769.21</v>
      </c>
      <c r="EF20">
        <v>1135.96</v>
      </c>
      <c r="EG20">
        <v>1518.14</v>
      </c>
      <c r="EH20">
        <v>4324.09</v>
      </c>
      <c r="EI20">
        <v>11385.39</v>
      </c>
      <c r="EJ20">
        <v>4988.72</v>
      </c>
      <c r="EK20">
        <v>10104.83</v>
      </c>
      <c r="EL20">
        <v>16742.099999999999</v>
      </c>
      <c r="EM20">
        <v>1174.49</v>
      </c>
      <c r="EN20">
        <v>821.24</v>
      </c>
      <c r="EO20">
        <v>9101.35</v>
      </c>
      <c r="EP20">
        <v>35070.26</v>
      </c>
      <c r="EQ20">
        <v>5735.86</v>
      </c>
      <c r="ER20">
        <v>7865.19</v>
      </c>
      <c r="ES20">
        <v>7947.6</v>
      </c>
      <c r="ET20">
        <v>1185.96</v>
      </c>
      <c r="EU20">
        <v>8568.4500000000007</v>
      </c>
      <c r="EV20">
        <v>1707.24</v>
      </c>
      <c r="EW20">
        <v>3893.31</v>
      </c>
    </row>
    <row r="21" spans="1:153" x14ac:dyDescent="0.35">
      <c r="A21">
        <v>1989</v>
      </c>
      <c r="B21">
        <v>35964.21</v>
      </c>
      <c r="C21">
        <v>2640.22</v>
      </c>
      <c r="D21">
        <v>19552.12</v>
      </c>
      <c r="E21">
        <v>3554.89</v>
      </c>
      <c r="F21">
        <v>5092.3500000000004</v>
      </c>
      <c r="G21">
        <v>11218.27</v>
      </c>
      <c r="H21">
        <v>27447.279999999999</v>
      </c>
      <c r="I21">
        <v>23422.51</v>
      </c>
      <c r="J21">
        <v>862.13</v>
      </c>
      <c r="K21">
        <v>24353.24</v>
      </c>
      <c r="L21">
        <v>1210.29</v>
      </c>
      <c r="M21">
        <v>933.87</v>
      </c>
      <c r="N21">
        <v>1318.63</v>
      </c>
      <c r="O21">
        <v>9579.73</v>
      </c>
      <c r="P21">
        <v>14082</v>
      </c>
      <c r="Q21" s="6">
        <v>25699.78</v>
      </c>
      <c r="R21">
        <v>5501.9</v>
      </c>
      <c r="S21">
        <v>30463.64</v>
      </c>
      <c r="T21">
        <v>2099.4499999999998</v>
      </c>
      <c r="U21">
        <v>6156.77</v>
      </c>
      <c r="V21">
        <v>16873.259999999998</v>
      </c>
      <c r="W21">
        <v>2366.2399999999998</v>
      </c>
      <c r="X21">
        <v>6144.27</v>
      </c>
      <c r="Y21">
        <v>1083.1400000000001</v>
      </c>
      <c r="Z21">
        <v>30915.27</v>
      </c>
      <c r="AA21">
        <v>36710.589999999997</v>
      </c>
      <c r="AB21">
        <v>7580.75</v>
      </c>
      <c r="AC21">
        <v>2551.46</v>
      </c>
      <c r="AD21">
        <v>2572.7199999999998</v>
      </c>
      <c r="AE21">
        <v>2612.5500000000002</v>
      </c>
      <c r="AF21">
        <v>1855.48</v>
      </c>
      <c r="AG21">
        <v>2019.07</v>
      </c>
      <c r="AH21">
        <v>6725.94</v>
      </c>
      <c r="AI21">
        <v>3566.02</v>
      </c>
      <c r="AJ21">
        <v>2082.7199999999998</v>
      </c>
      <c r="AK21">
        <v>7388.07</v>
      </c>
      <c r="AL21" s="6">
        <v>56190.63</v>
      </c>
      <c r="AM21">
        <v>19812.82</v>
      </c>
      <c r="AN21">
        <v>23996.45</v>
      </c>
      <c r="AO21">
        <v>2340.5</v>
      </c>
      <c r="AP21">
        <v>7128.4</v>
      </c>
      <c r="AQ21">
        <v>25346.35</v>
      </c>
      <c r="AR21">
        <v>4926.8500000000004</v>
      </c>
      <c r="AS21">
        <v>8075.31</v>
      </c>
      <c r="AT21">
        <v>5525.74</v>
      </c>
      <c r="AU21" s="6">
        <v>1842.78</v>
      </c>
      <c r="AV21">
        <v>16246.95</v>
      </c>
      <c r="AW21">
        <v>752.88</v>
      </c>
      <c r="AX21">
        <v>24987.48</v>
      </c>
      <c r="AY21">
        <v>5274.77</v>
      </c>
      <c r="AZ21">
        <v>24273.03</v>
      </c>
      <c r="BA21">
        <v>8928.9</v>
      </c>
      <c r="BB21">
        <v>22943.25</v>
      </c>
      <c r="BC21">
        <v>2702.79</v>
      </c>
      <c r="BD21">
        <v>3166.07</v>
      </c>
      <c r="BE21">
        <v>2648</v>
      </c>
      <c r="BF21">
        <v>1386.65</v>
      </c>
      <c r="BG21">
        <v>2150.34</v>
      </c>
      <c r="BH21">
        <v>15932.93</v>
      </c>
      <c r="BI21">
        <v>4398.04</v>
      </c>
      <c r="BJ21">
        <v>3510.39</v>
      </c>
      <c r="BK21">
        <v>23440.89</v>
      </c>
      <c r="BL21">
        <v>2856</v>
      </c>
      <c r="BM21">
        <v>1263.29</v>
      </c>
      <c r="BN21">
        <v>12670.13</v>
      </c>
      <c r="BO21">
        <v>2913.42</v>
      </c>
      <c r="BP21">
        <v>1232.19</v>
      </c>
      <c r="BQ21">
        <v>16576.439999999999</v>
      </c>
      <c r="BR21">
        <v>2609.8200000000002</v>
      </c>
      <c r="BS21">
        <v>4959.8500000000004</v>
      </c>
      <c r="BT21">
        <v>30319.55</v>
      </c>
      <c r="BU21">
        <v>19920.689999999999</v>
      </c>
      <c r="BV21">
        <v>24090.58</v>
      </c>
      <c r="BW21">
        <v>4573.6400000000003</v>
      </c>
      <c r="BX21">
        <v>4204.75</v>
      </c>
      <c r="BY21">
        <v>24465.63</v>
      </c>
      <c r="BZ21">
        <v>2080.12</v>
      </c>
      <c r="CA21">
        <v>1102.1500000000001</v>
      </c>
      <c r="CB21">
        <v>9596.82</v>
      </c>
      <c r="CC21">
        <v>10847.08</v>
      </c>
      <c r="CD21">
        <v>26869.16</v>
      </c>
      <c r="CE21">
        <v>1115.6099999999999</v>
      </c>
      <c r="CF21">
        <v>2842.77</v>
      </c>
      <c r="CG21">
        <v>1690.6</v>
      </c>
      <c r="CH21">
        <v>7047.94</v>
      </c>
      <c r="CI21">
        <v>2860.75</v>
      </c>
      <c r="CJ21">
        <v>1451.5</v>
      </c>
      <c r="CK21">
        <v>41003.68</v>
      </c>
      <c r="CL21">
        <v>3996.12</v>
      </c>
      <c r="CM21">
        <v>1325.7</v>
      </c>
      <c r="CN21">
        <v>4158.29</v>
      </c>
      <c r="CO21">
        <v>10853.7</v>
      </c>
      <c r="CP21">
        <v>693.82</v>
      </c>
      <c r="CQ21">
        <v>12900.29</v>
      </c>
      <c r="CR21">
        <v>811.09</v>
      </c>
      <c r="CS21">
        <v>2393.88</v>
      </c>
      <c r="CT21">
        <v>539.82000000000005</v>
      </c>
      <c r="CU21">
        <v>2061.09</v>
      </c>
      <c r="CV21">
        <v>22127.07</v>
      </c>
      <c r="CW21">
        <v>9042.36</v>
      </c>
      <c r="CX21">
        <v>1025.69</v>
      </c>
      <c r="CY21">
        <v>7646.79</v>
      </c>
      <c r="CZ21">
        <v>5590.21</v>
      </c>
      <c r="DA21">
        <v>817.23</v>
      </c>
      <c r="DB21">
        <v>917.46</v>
      </c>
      <c r="DC21">
        <v>2900.81</v>
      </c>
      <c r="DD21">
        <v>25173.73</v>
      </c>
      <c r="DE21">
        <v>25741.32</v>
      </c>
      <c r="DF21">
        <v>984.2</v>
      </c>
      <c r="DG21">
        <v>21100.7</v>
      </c>
      <c r="DH21">
        <v>9238.17</v>
      </c>
      <c r="DI21">
        <v>2491.85</v>
      </c>
      <c r="DJ21">
        <v>5971.43</v>
      </c>
      <c r="DK21">
        <v>3481.1</v>
      </c>
      <c r="DL21">
        <v>3341.16</v>
      </c>
      <c r="DM21">
        <v>9068.58</v>
      </c>
      <c r="DN21">
        <v>13444.41</v>
      </c>
      <c r="DO21">
        <v>3626.69</v>
      </c>
      <c r="DP21">
        <v>2235.12</v>
      </c>
      <c r="DQ21">
        <v>7431.2</v>
      </c>
      <c r="DR21">
        <v>1102.97</v>
      </c>
      <c r="DS21" s="6">
        <v>15925.04</v>
      </c>
      <c r="DT21">
        <v>1492.44</v>
      </c>
      <c r="DU21">
        <v>2565.6999999999998</v>
      </c>
      <c r="DV21">
        <v>18517.77</v>
      </c>
      <c r="DW21">
        <v>1316.66</v>
      </c>
      <c r="DX21">
        <v>2574.11</v>
      </c>
      <c r="DY21">
        <v>1790.47</v>
      </c>
      <c r="DZ21">
        <v>6368.53</v>
      </c>
      <c r="EA21">
        <v>27037.62</v>
      </c>
      <c r="EB21">
        <v>5197.76</v>
      </c>
      <c r="EC21">
        <v>14799.47</v>
      </c>
      <c r="ED21">
        <v>1309.52</v>
      </c>
      <c r="EE21">
        <v>11502.42</v>
      </c>
      <c r="EF21">
        <v>1135.53</v>
      </c>
      <c r="EG21">
        <v>1497.25</v>
      </c>
      <c r="EH21">
        <v>4645.66</v>
      </c>
      <c r="EI21">
        <v>10657.94</v>
      </c>
      <c r="EJ21">
        <v>5057.09</v>
      </c>
      <c r="EK21">
        <v>9820.19</v>
      </c>
      <c r="EL21">
        <v>18094.169999999998</v>
      </c>
      <c r="EM21">
        <v>1083.26</v>
      </c>
      <c r="EN21">
        <v>817.88</v>
      </c>
      <c r="EO21">
        <v>9123.26</v>
      </c>
      <c r="EP21">
        <v>35993.339999999997</v>
      </c>
      <c r="EQ21">
        <v>5644.97</v>
      </c>
      <c r="ER21">
        <v>7867.52</v>
      </c>
      <c r="ES21">
        <v>8242.52</v>
      </c>
      <c r="ET21">
        <v>1206.8499999999999</v>
      </c>
      <c r="EU21">
        <v>8557.4</v>
      </c>
      <c r="EV21">
        <v>1341.6</v>
      </c>
      <c r="EW21">
        <v>4257.7</v>
      </c>
    </row>
    <row r="22" spans="1:153" x14ac:dyDescent="0.35">
      <c r="A22">
        <v>1990</v>
      </c>
      <c r="B22">
        <v>38092.71</v>
      </c>
      <c r="C22">
        <v>2698.76</v>
      </c>
      <c r="D22">
        <v>22867.21</v>
      </c>
      <c r="E22">
        <v>3374.06</v>
      </c>
      <c r="F22">
        <v>5406.27</v>
      </c>
      <c r="G22">
        <v>11710.31</v>
      </c>
      <c r="H22">
        <v>26769.89</v>
      </c>
      <c r="I22">
        <v>24872.14</v>
      </c>
      <c r="J22">
        <v>847.16</v>
      </c>
      <c r="K22">
        <v>25249.46</v>
      </c>
      <c r="L22">
        <v>1207.6500000000001</v>
      </c>
      <c r="M22">
        <v>910.25</v>
      </c>
      <c r="N22">
        <v>1337.06</v>
      </c>
      <c r="O22">
        <v>10130.82</v>
      </c>
      <c r="P22">
        <v>15153.13</v>
      </c>
      <c r="Q22" s="6">
        <v>25452.880000000001</v>
      </c>
      <c r="R22">
        <v>6138.5</v>
      </c>
      <c r="S22">
        <v>29642.880000000001</v>
      </c>
      <c r="T22">
        <v>2200</v>
      </c>
      <c r="U22">
        <v>5841.4</v>
      </c>
      <c r="V22">
        <v>16307.3</v>
      </c>
      <c r="W22">
        <v>2507.09</v>
      </c>
      <c r="X22">
        <v>6274.95</v>
      </c>
      <c r="Y22">
        <v>1050.44</v>
      </c>
      <c r="Z22">
        <v>30398.7</v>
      </c>
      <c r="AA22">
        <v>38163.769999999997</v>
      </c>
      <c r="AB22">
        <v>7552.53</v>
      </c>
      <c r="AC22">
        <v>2548.2800000000002</v>
      </c>
      <c r="AD22">
        <v>2294.13</v>
      </c>
      <c r="AE22">
        <v>2410</v>
      </c>
      <c r="AF22">
        <v>1392.43</v>
      </c>
      <c r="AG22">
        <v>2213.21</v>
      </c>
      <c r="AH22">
        <v>6829.81</v>
      </c>
      <c r="AI22">
        <v>3487.15</v>
      </c>
      <c r="AJ22">
        <v>2010.01</v>
      </c>
      <c r="AK22">
        <v>7326.17</v>
      </c>
      <c r="AL22" s="6">
        <v>59744.71</v>
      </c>
      <c r="AM22">
        <v>20823.89</v>
      </c>
      <c r="AN22">
        <v>25626.28</v>
      </c>
      <c r="AO22">
        <v>2353.17</v>
      </c>
      <c r="AP22">
        <v>7718.4</v>
      </c>
      <c r="AQ22">
        <v>25711.34</v>
      </c>
      <c r="AR22">
        <v>4493.43</v>
      </c>
      <c r="AS22">
        <v>8282.1200000000008</v>
      </c>
      <c r="AT22">
        <v>5774.59</v>
      </c>
      <c r="AU22" s="6">
        <v>2012.93</v>
      </c>
      <c r="AV22">
        <v>17279.91</v>
      </c>
      <c r="AW22">
        <v>722.94</v>
      </c>
      <c r="AX22">
        <v>25111.71</v>
      </c>
      <c r="AY22">
        <v>5707.93</v>
      </c>
      <c r="AZ22">
        <v>24898.23</v>
      </c>
      <c r="BA22">
        <v>8699.6200000000008</v>
      </c>
      <c r="BB22">
        <v>23052.52</v>
      </c>
      <c r="BC22">
        <v>2734.69</v>
      </c>
      <c r="BD22">
        <v>3068.07</v>
      </c>
      <c r="BE22">
        <v>2639.63</v>
      </c>
      <c r="BF22">
        <v>1417.39</v>
      </c>
      <c r="BG22">
        <v>1846.16</v>
      </c>
      <c r="BH22">
        <v>16214.13</v>
      </c>
      <c r="BI22">
        <v>4687.34</v>
      </c>
      <c r="BJ22">
        <v>3586.91</v>
      </c>
      <c r="BK22">
        <v>24111.51</v>
      </c>
      <c r="BL22">
        <v>2786.47</v>
      </c>
      <c r="BM22">
        <v>1240.9000000000001</v>
      </c>
      <c r="BN22">
        <v>12652.11</v>
      </c>
      <c r="BO22">
        <v>3202.77</v>
      </c>
      <c r="BP22">
        <v>1283.8699999999999</v>
      </c>
      <c r="BQ22">
        <v>17781.98</v>
      </c>
      <c r="BR22">
        <v>3049.37</v>
      </c>
      <c r="BS22">
        <v>4839.5</v>
      </c>
      <c r="BT22">
        <v>29850.12</v>
      </c>
      <c r="BU22">
        <v>21261.81</v>
      </c>
      <c r="BV22">
        <v>25096.57</v>
      </c>
      <c r="BW22">
        <v>4792.84</v>
      </c>
      <c r="BX22">
        <v>3309.74</v>
      </c>
      <c r="BY22">
        <v>26252.23</v>
      </c>
      <c r="BZ22">
        <v>2068.11</v>
      </c>
      <c r="CA22">
        <v>1073.5</v>
      </c>
      <c r="CB22">
        <v>10147.5</v>
      </c>
      <c r="CC22">
        <v>12048.54</v>
      </c>
      <c r="CD22">
        <v>19934.189999999999</v>
      </c>
      <c r="CE22">
        <v>1157.71</v>
      </c>
      <c r="CF22">
        <v>3873.14</v>
      </c>
      <c r="CG22">
        <v>852.92</v>
      </c>
      <c r="CH22">
        <v>7284.85</v>
      </c>
      <c r="CI22">
        <v>2929.09</v>
      </c>
      <c r="CJ22">
        <v>1456.78</v>
      </c>
      <c r="CK22">
        <v>42348.65</v>
      </c>
      <c r="CL22">
        <v>3985.47</v>
      </c>
      <c r="CM22">
        <v>1265.57</v>
      </c>
      <c r="CN22">
        <v>4653.54</v>
      </c>
      <c r="CO22">
        <v>11282.54</v>
      </c>
      <c r="CP22">
        <v>664.81</v>
      </c>
      <c r="CQ22">
        <v>13538.99</v>
      </c>
      <c r="CR22">
        <v>805.98</v>
      </c>
      <c r="CS22">
        <v>3314.83</v>
      </c>
      <c r="CT22">
        <v>526.88</v>
      </c>
      <c r="CU22">
        <v>1964.41</v>
      </c>
      <c r="CV22">
        <v>26573.94</v>
      </c>
      <c r="CW22">
        <v>9745.6299999999992</v>
      </c>
      <c r="CX22">
        <v>962.95</v>
      </c>
      <c r="CY22">
        <v>8089.8</v>
      </c>
      <c r="CZ22">
        <v>4725.75</v>
      </c>
      <c r="DA22">
        <v>826.01</v>
      </c>
      <c r="DB22">
        <v>844.14</v>
      </c>
      <c r="DC22">
        <v>2949.56</v>
      </c>
      <c r="DD22">
        <v>26252.66</v>
      </c>
      <c r="DE22">
        <v>26209.200000000001</v>
      </c>
      <c r="DF22">
        <v>986.63</v>
      </c>
      <c r="DG22">
        <v>20825.310000000001</v>
      </c>
      <c r="DH22">
        <v>10590.51</v>
      </c>
      <c r="DI22">
        <v>2480.88</v>
      </c>
      <c r="DJ22">
        <v>6152.43</v>
      </c>
      <c r="DK22">
        <v>3448.76</v>
      </c>
      <c r="DL22">
        <v>3489.25</v>
      </c>
      <c r="DM22">
        <v>8113.9</v>
      </c>
      <c r="DN22">
        <v>14541.34</v>
      </c>
      <c r="DO22">
        <v>3649.18</v>
      </c>
      <c r="DP22">
        <v>2552.2800000000002</v>
      </c>
      <c r="DQ22">
        <v>7183.23</v>
      </c>
      <c r="DR22">
        <v>1061.97</v>
      </c>
      <c r="DS22" s="6">
        <v>16343.7</v>
      </c>
      <c r="DT22">
        <v>1499.59</v>
      </c>
      <c r="DU22">
        <v>2544.77</v>
      </c>
      <c r="DV22">
        <v>20444.330000000002</v>
      </c>
      <c r="DW22">
        <v>1423.1</v>
      </c>
      <c r="DX22">
        <v>2483.2800000000002</v>
      </c>
      <c r="DY22">
        <v>1723.64</v>
      </c>
      <c r="DZ22">
        <v>6377.15</v>
      </c>
      <c r="EA22">
        <v>27229.87</v>
      </c>
      <c r="EB22">
        <v>5820.36</v>
      </c>
      <c r="EC22">
        <v>16136.8</v>
      </c>
      <c r="ED22">
        <v>1203.57</v>
      </c>
      <c r="EE22">
        <v>12137.9</v>
      </c>
      <c r="EF22">
        <v>1122.47</v>
      </c>
      <c r="EG22">
        <v>1632.67</v>
      </c>
      <c r="EH22">
        <v>4973.6099999999997</v>
      </c>
      <c r="EI22">
        <v>11237.06</v>
      </c>
      <c r="EJ22">
        <v>5311.88</v>
      </c>
      <c r="EK22">
        <v>10371.07</v>
      </c>
      <c r="EL22">
        <v>19194.009999999998</v>
      </c>
      <c r="EM22">
        <v>1106.32</v>
      </c>
      <c r="EN22">
        <v>811.15</v>
      </c>
      <c r="EO22">
        <v>8919.09</v>
      </c>
      <c r="EP22">
        <v>36169.019999999997</v>
      </c>
      <c r="EQ22">
        <v>5533.21</v>
      </c>
      <c r="ER22">
        <v>8527.7900000000009</v>
      </c>
      <c r="ES22">
        <v>10009.040000000001</v>
      </c>
      <c r="ET22">
        <v>1258.94</v>
      </c>
      <c r="EU22">
        <v>8322.35</v>
      </c>
      <c r="EV22">
        <v>1306.6600000000001</v>
      </c>
      <c r="EW22">
        <v>4417.75</v>
      </c>
    </row>
    <row r="23" spans="1:153" x14ac:dyDescent="0.35">
      <c r="A23">
        <v>1991</v>
      </c>
      <c r="B23">
        <v>33607.69</v>
      </c>
      <c r="C23">
        <v>2424.25</v>
      </c>
      <c r="D23">
        <v>17356.77</v>
      </c>
      <c r="E23">
        <v>2776.01</v>
      </c>
      <c r="F23">
        <v>6406.55</v>
      </c>
      <c r="G23">
        <v>11796.94</v>
      </c>
      <c r="H23">
        <v>26397.21</v>
      </c>
      <c r="I23">
        <v>26199.119999999999</v>
      </c>
      <c r="J23">
        <v>862.27</v>
      </c>
      <c r="K23">
        <v>25668.39</v>
      </c>
      <c r="L23">
        <v>1224.28</v>
      </c>
      <c r="M23">
        <v>955.72</v>
      </c>
      <c r="N23">
        <v>1369.41</v>
      </c>
      <c r="O23">
        <v>10524.72</v>
      </c>
      <c r="P23">
        <v>15281.78</v>
      </c>
      <c r="Q23" s="6">
        <v>23511.97</v>
      </c>
      <c r="R23">
        <v>5671.39</v>
      </c>
      <c r="S23">
        <v>29202.54</v>
      </c>
      <c r="T23">
        <v>2266.41</v>
      </c>
      <c r="U23">
        <v>6272.55</v>
      </c>
      <c r="V23">
        <v>17256.27</v>
      </c>
      <c r="W23">
        <v>2489.87</v>
      </c>
      <c r="X23">
        <v>6416.09</v>
      </c>
      <c r="Y23">
        <v>1009.06</v>
      </c>
      <c r="Z23">
        <v>29254.02</v>
      </c>
      <c r="AA23">
        <v>37455.74</v>
      </c>
      <c r="AB23">
        <v>8017.13</v>
      </c>
      <c r="AC23">
        <v>2654.89</v>
      </c>
      <c r="AD23">
        <v>2256.87</v>
      </c>
      <c r="AE23">
        <v>2276.09</v>
      </c>
      <c r="AF23">
        <v>1052.1400000000001</v>
      </c>
      <c r="AG23">
        <v>2450.73</v>
      </c>
      <c r="AH23">
        <v>6805.6</v>
      </c>
      <c r="AI23">
        <v>3272.72</v>
      </c>
      <c r="AJ23">
        <v>2022.3</v>
      </c>
      <c r="AK23">
        <v>7346.58</v>
      </c>
      <c r="AL23" s="6">
        <v>57814.58</v>
      </c>
      <c r="AM23">
        <v>20136.810000000001</v>
      </c>
      <c r="AN23">
        <v>27081.02</v>
      </c>
      <c r="AO23">
        <v>2216.19</v>
      </c>
      <c r="AP23">
        <v>7255.34</v>
      </c>
      <c r="AQ23">
        <v>25824.78</v>
      </c>
      <c r="AR23">
        <v>4511.59</v>
      </c>
      <c r="AS23">
        <v>8286.48</v>
      </c>
      <c r="AT23">
        <v>5808.47</v>
      </c>
      <c r="AU23" s="6">
        <v>2280.83</v>
      </c>
      <c r="AV23">
        <v>18110.509999999998</v>
      </c>
      <c r="AW23">
        <v>648.49</v>
      </c>
      <c r="AX23">
        <v>23340.37</v>
      </c>
      <c r="AY23">
        <v>5503.89</v>
      </c>
      <c r="AZ23">
        <v>24931.1</v>
      </c>
      <c r="BA23">
        <v>9112.61</v>
      </c>
      <c r="BB23">
        <v>22394.560000000001</v>
      </c>
      <c r="BC23">
        <v>2909.35</v>
      </c>
      <c r="BD23">
        <v>3026.98</v>
      </c>
      <c r="BE23">
        <v>2606.38</v>
      </c>
      <c r="BF23">
        <v>1437.64</v>
      </c>
      <c r="BG23">
        <v>1786.15</v>
      </c>
      <c r="BH23">
        <v>17190.04</v>
      </c>
      <c r="BI23">
        <v>4766.26</v>
      </c>
      <c r="BJ23">
        <v>3736.87</v>
      </c>
      <c r="BK23">
        <v>25622.63</v>
      </c>
      <c r="BL23">
        <v>2864.45</v>
      </c>
      <c r="BM23">
        <v>1224.06</v>
      </c>
      <c r="BN23">
        <v>11340.06</v>
      </c>
      <c r="BO23">
        <v>3412.98</v>
      </c>
      <c r="BP23">
        <v>1291.58</v>
      </c>
      <c r="BQ23">
        <v>18011.61</v>
      </c>
      <c r="BR23">
        <v>3505.35</v>
      </c>
      <c r="BS23">
        <v>1584.07</v>
      </c>
      <c r="BT23">
        <v>30374.44</v>
      </c>
      <c r="BU23">
        <v>22965.14</v>
      </c>
      <c r="BV23">
        <v>25946.78</v>
      </c>
      <c r="BW23">
        <v>4805.38</v>
      </c>
      <c r="BX23">
        <v>2868.51</v>
      </c>
      <c r="BY23">
        <v>27763.57</v>
      </c>
      <c r="BZ23">
        <v>2086.23</v>
      </c>
      <c r="CA23">
        <v>1134.47</v>
      </c>
      <c r="CB23">
        <v>10479.870000000001</v>
      </c>
      <c r="CC23">
        <v>13510.33</v>
      </c>
      <c r="CD23">
        <v>11997.62</v>
      </c>
      <c r="CE23">
        <v>1173.77</v>
      </c>
      <c r="CF23">
        <v>5311.27</v>
      </c>
      <c r="CG23">
        <v>766.34</v>
      </c>
      <c r="CH23">
        <v>7114.38</v>
      </c>
      <c r="CI23">
        <v>2926.83</v>
      </c>
      <c r="CJ23">
        <v>1422.94</v>
      </c>
      <c r="CK23">
        <v>45637.03</v>
      </c>
      <c r="CL23">
        <v>4398.3500000000004</v>
      </c>
      <c r="CM23">
        <v>1178.47</v>
      </c>
      <c r="CN23">
        <v>4874.9799999999996</v>
      </c>
      <c r="CO23">
        <v>11509.8</v>
      </c>
      <c r="CP23">
        <v>733.93</v>
      </c>
      <c r="CQ23">
        <v>14368.86</v>
      </c>
      <c r="CR23">
        <v>770.83</v>
      </c>
      <c r="CS23">
        <v>2401.65</v>
      </c>
      <c r="CT23">
        <v>530.94000000000005</v>
      </c>
      <c r="CU23">
        <v>1976.69</v>
      </c>
      <c r="CV23">
        <v>19509.080000000002</v>
      </c>
      <c r="CW23">
        <v>10304.790000000001</v>
      </c>
      <c r="CX23">
        <v>1020.52</v>
      </c>
      <c r="CY23">
        <v>8634.6</v>
      </c>
      <c r="CZ23">
        <v>4806.16</v>
      </c>
      <c r="DA23">
        <v>803.89</v>
      </c>
      <c r="DB23">
        <v>696.72</v>
      </c>
      <c r="DC23">
        <v>2981.75</v>
      </c>
      <c r="DD23">
        <v>26933.39</v>
      </c>
      <c r="DE23">
        <v>26668.16</v>
      </c>
      <c r="DF23">
        <v>1037.8</v>
      </c>
      <c r="DG23">
        <v>20233.509999999998</v>
      </c>
      <c r="DH23">
        <v>9918.4</v>
      </c>
      <c r="DI23">
        <v>2467.66</v>
      </c>
      <c r="DJ23">
        <v>6693.49</v>
      </c>
      <c r="DK23">
        <v>3526.46</v>
      </c>
      <c r="DL23">
        <v>3542.17</v>
      </c>
      <c r="DM23">
        <v>7676.05</v>
      </c>
      <c r="DN23">
        <v>15256.3</v>
      </c>
      <c r="DO23">
        <v>3672.38</v>
      </c>
      <c r="DP23">
        <v>2344.5100000000002</v>
      </c>
      <c r="DQ23">
        <v>6692.25</v>
      </c>
      <c r="DR23">
        <v>960.54</v>
      </c>
      <c r="DS23" s="6">
        <v>17717.830000000002</v>
      </c>
      <c r="DT23">
        <v>1531.24</v>
      </c>
      <c r="DU23">
        <v>2448.67</v>
      </c>
      <c r="DV23">
        <v>21643.21</v>
      </c>
      <c r="DW23">
        <v>1467.01</v>
      </c>
      <c r="DX23">
        <v>2579.5</v>
      </c>
      <c r="DY23">
        <v>1664.01</v>
      </c>
      <c r="DZ23">
        <v>6454.69</v>
      </c>
      <c r="EA23">
        <v>26908.799999999999</v>
      </c>
      <c r="EB23">
        <v>5958.72</v>
      </c>
      <c r="EC23">
        <v>16106.12</v>
      </c>
      <c r="ED23">
        <v>1079.29</v>
      </c>
      <c r="EE23">
        <v>12666.07</v>
      </c>
      <c r="EF23">
        <v>1131.83</v>
      </c>
      <c r="EG23">
        <v>1500.65</v>
      </c>
      <c r="EH23">
        <v>5336.31</v>
      </c>
      <c r="EI23">
        <v>10592.33</v>
      </c>
      <c r="EJ23">
        <v>5568.74</v>
      </c>
      <c r="EK23">
        <v>9901.4599999999991</v>
      </c>
      <c r="EL23">
        <v>20619.29</v>
      </c>
      <c r="EM23">
        <v>1078.67</v>
      </c>
      <c r="EN23">
        <v>794.87</v>
      </c>
      <c r="EO23">
        <v>9277.4599999999991</v>
      </c>
      <c r="EP23">
        <v>35751.57</v>
      </c>
      <c r="EQ23">
        <v>6077.47</v>
      </c>
      <c r="ER23">
        <v>8244.8700000000008</v>
      </c>
      <c r="ES23">
        <v>12228.98</v>
      </c>
      <c r="ET23">
        <v>1350.15</v>
      </c>
      <c r="EU23">
        <v>8115.41</v>
      </c>
      <c r="EV23">
        <v>1309.94</v>
      </c>
      <c r="EW23">
        <v>5041.1099999999997</v>
      </c>
    </row>
    <row r="24" spans="1:153" x14ac:dyDescent="0.35">
      <c r="A24">
        <v>1992</v>
      </c>
      <c r="B24">
        <v>42728.29</v>
      </c>
      <c r="C24">
        <v>2702.66</v>
      </c>
      <c r="D24">
        <v>20921.22</v>
      </c>
      <c r="E24">
        <v>2177.38</v>
      </c>
      <c r="F24">
        <v>7605.83</v>
      </c>
      <c r="G24">
        <v>11922.56</v>
      </c>
      <c r="H24">
        <v>27114.04</v>
      </c>
      <c r="I24">
        <v>27045.759999999998</v>
      </c>
      <c r="J24">
        <v>820.23</v>
      </c>
      <c r="K24">
        <v>26413.35</v>
      </c>
      <c r="L24">
        <v>1218.8499999999999</v>
      </c>
      <c r="M24">
        <v>928.57</v>
      </c>
      <c r="N24">
        <v>1374.81</v>
      </c>
      <c r="O24">
        <v>8903.7099999999991</v>
      </c>
      <c r="P24">
        <v>15851.7</v>
      </c>
      <c r="Q24" s="6">
        <v>22715.16</v>
      </c>
      <c r="R24">
        <v>5946.05</v>
      </c>
      <c r="S24">
        <v>28613.919999999998</v>
      </c>
      <c r="T24">
        <v>2318.15</v>
      </c>
      <c r="U24">
        <v>6378.63</v>
      </c>
      <c r="V24">
        <v>17208.87</v>
      </c>
      <c r="W24">
        <v>2549.0500000000002</v>
      </c>
      <c r="X24">
        <v>6308.82</v>
      </c>
      <c r="Y24">
        <v>942.55</v>
      </c>
      <c r="Z24">
        <v>29149.67</v>
      </c>
      <c r="AA24">
        <v>36928.720000000001</v>
      </c>
      <c r="AB24">
        <v>8701.0400000000009</v>
      </c>
      <c r="AC24">
        <v>2820.92</v>
      </c>
      <c r="AD24">
        <v>2278.59</v>
      </c>
      <c r="AE24">
        <v>2172.36</v>
      </c>
      <c r="AF24">
        <v>1382.1</v>
      </c>
      <c r="AG24">
        <v>1740.97</v>
      </c>
      <c r="AH24">
        <v>6882.27</v>
      </c>
      <c r="AI24">
        <v>3383.41</v>
      </c>
      <c r="AJ24">
        <v>2127.81</v>
      </c>
      <c r="AK24">
        <v>7905.16</v>
      </c>
      <c r="AL24" s="6">
        <v>57289.1</v>
      </c>
      <c r="AM24">
        <v>21733.91</v>
      </c>
      <c r="AN24">
        <v>27987.08</v>
      </c>
      <c r="AO24">
        <v>2449.1999999999998</v>
      </c>
      <c r="AP24">
        <v>8108.45</v>
      </c>
      <c r="AQ24">
        <v>26433.52</v>
      </c>
      <c r="AR24">
        <v>4942.88</v>
      </c>
      <c r="AS24">
        <v>7861.96</v>
      </c>
      <c r="AT24">
        <v>5787.18</v>
      </c>
      <c r="AU24" s="6">
        <v>2472.02</v>
      </c>
      <c r="AV24">
        <v>18599.080000000002</v>
      </c>
      <c r="AW24">
        <v>559.52</v>
      </c>
      <c r="AX24">
        <v>22134.76</v>
      </c>
      <c r="AY24">
        <v>5656.49</v>
      </c>
      <c r="AZ24">
        <v>25195.74</v>
      </c>
      <c r="BA24">
        <v>8503.58</v>
      </c>
      <c r="BB24">
        <v>22304.61</v>
      </c>
      <c r="BC24">
        <v>2682.06</v>
      </c>
      <c r="BD24">
        <v>2831.77</v>
      </c>
      <c r="BE24">
        <v>2585.58</v>
      </c>
      <c r="BF24">
        <v>1232.82</v>
      </c>
      <c r="BG24">
        <v>2063.79</v>
      </c>
      <c r="BH24">
        <v>17466.11</v>
      </c>
      <c r="BI24">
        <v>5475.93</v>
      </c>
      <c r="BJ24">
        <v>3742.05</v>
      </c>
      <c r="BK24">
        <v>27482.2</v>
      </c>
      <c r="BL24">
        <v>2909.72</v>
      </c>
      <c r="BM24">
        <v>1157.97</v>
      </c>
      <c r="BN24">
        <v>11491.3</v>
      </c>
      <c r="BO24">
        <v>3626.39</v>
      </c>
      <c r="BP24">
        <v>1338.34</v>
      </c>
      <c r="BQ24">
        <v>18535.75</v>
      </c>
      <c r="BR24">
        <v>3780.05</v>
      </c>
      <c r="BS24">
        <v>1924.82</v>
      </c>
      <c r="BT24">
        <v>28740.639999999999</v>
      </c>
      <c r="BU24">
        <v>24086.1</v>
      </c>
      <c r="BV24">
        <v>26364.31</v>
      </c>
      <c r="BW24">
        <v>5156.78</v>
      </c>
      <c r="BX24">
        <v>3125.3</v>
      </c>
      <c r="BY24">
        <v>28610.99</v>
      </c>
      <c r="BZ24">
        <v>1991.18</v>
      </c>
      <c r="CA24">
        <v>1172.3499999999999</v>
      </c>
      <c r="CB24">
        <v>10451.030000000001</v>
      </c>
      <c r="CC24">
        <v>14533.96</v>
      </c>
      <c r="CD24">
        <v>24394.31</v>
      </c>
      <c r="CE24">
        <v>1204.48</v>
      </c>
      <c r="CF24">
        <v>4466.49</v>
      </c>
      <c r="CG24">
        <v>492.46</v>
      </c>
      <c r="CH24">
        <v>7523.33</v>
      </c>
      <c r="CI24">
        <v>3150.47</v>
      </c>
      <c r="CJ24">
        <v>1500.29</v>
      </c>
      <c r="CK24">
        <v>45226.23</v>
      </c>
      <c r="CL24">
        <v>4312.25</v>
      </c>
      <c r="CM24">
        <v>1115.31</v>
      </c>
      <c r="CN24">
        <v>5054.83</v>
      </c>
      <c r="CO24">
        <v>11763.06</v>
      </c>
      <c r="CP24">
        <v>663.51</v>
      </c>
      <c r="CQ24">
        <v>14598.87</v>
      </c>
      <c r="CR24">
        <v>822.46</v>
      </c>
      <c r="CS24">
        <v>2251.1999999999998</v>
      </c>
      <c r="CT24">
        <v>441.77</v>
      </c>
      <c r="CU24">
        <v>1951.23</v>
      </c>
      <c r="CV24">
        <v>19381.88</v>
      </c>
      <c r="CW24">
        <v>10992.08</v>
      </c>
      <c r="CX24">
        <v>907.96</v>
      </c>
      <c r="CY24">
        <v>9196.83</v>
      </c>
      <c r="CZ24">
        <v>4880.41</v>
      </c>
      <c r="DA24">
        <v>773.16</v>
      </c>
      <c r="DB24">
        <v>584.70000000000005</v>
      </c>
      <c r="DC24">
        <v>2907.21</v>
      </c>
      <c r="DD24">
        <v>27305.26</v>
      </c>
      <c r="DE24">
        <v>26847.29</v>
      </c>
      <c r="DF24">
        <v>1035.0899999999999</v>
      </c>
      <c r="DG24">
        <v>20422.16</v>
      </c>
      <c r="DH24">
        <v>10263.36</v>
      </c>
      <c r="DI24">
        <v>2543.46</v>
      </c>
      <c r="DJ24">
        <v>7176.32</v>
      </c>
      <c r="DK24">
        <v>3522.92</v>
      </c>
      <c r="DL24">
        <v>3621.15</v>
      </c>
      <c r="DM24">
        <v>8191.99</v>
      </c>
      <c r="DN24">
        <v>16004.52</v>
      </c>
      <c r="DO24">
        <v>3701.86</v>
      </c>
      <c r="DP24">
        <v>2782.12</v>
      </c>
      <c r="DQ24">
        <v>6159.11</v>
      </c>
      <c r="DR24">
        <v>1061.03</v>
      </c>
      <c r="DS24" s="6">
        <v>18488.72</v>
      </c>
      <c r="DT24">
        <v>1439.33</v>
      </c>
      <c r="DU24">
        <v>2411.8200000000002</v>
      </c>
      <c r="DV24">
        <v>22284.959999999999</v>
      </c>
      <c r="DW24">
        <v>1381.96</v>
      </c>
      <c r="DX24">
        <v>2738.1</v>
      </c>
      <c r="DY24">
        <v>1613.1</v>
      </c>
      <c r="DZ24">
        <v>6507.84</v>
      </c>
      <c r="EA24">
        <v>26572.799999999999</v>
      </c>
      <c r="EB24">
        <v>6117.51</v>
      </c>
      <c r="EC24">
        <v>16820.990000000002</v>
      </c>
      <c r="ED24">
        <v>1082.3499999999999</v>
      </c>
      <c r="EE24">
        <v>12984.97</v>
      </c>
      <c r="EF24">
        <v>1107.05</v>
      </c>
      <c r="EG24">
        <v>1444.22</v>
      </c>
      <c r="EH24">
        <v>5939.03</v>
      </c>
      <c r="EI24">
        <v>9814.4500000000007</v>
      </c>
      <c r="EJ24">
        <v>6008.09</v>
      </c>
      <c r="EK24">
        <v>10166.92</v>
      </c>
      <c r="EL24">
        <v>21766.54</v>
      </c>
      <c r="EM24">
        <v>961.32</v>
      </c>
      <c r="EN24">
        <v>804.85</v>
      </c>
      <c r="EO24">
        <v>10307.91</v>
      </c>
      <c r="EP24">
        <v>36700.57</v>
      </c>
      <c r="EQ24">
        <v>6973.61</v>
      </c>
      <c r="ER24">
        <v>8147.38</v>
      </c>
      <c r="ES24">
        <v>14388.63</v>
      </c>
      <c r="ET24">
        <v>1429.63</v>
      </c>
      <c r="EU24">
        <v>7863.55</v>
      </c>
      <c r="EV24">
        <v>1092.1400000000001</v>
      </c>
      <c r="EW24">
        <v>4409.59</v>
      </c>
    </row>
    <row r="25" spans="1:153" x14ac:dyDescent="0.35">
      <c r="A25">
        <v>1993</v>
      </c>
      <c r="B25">
        <v>44692.35</v>
      </c>
      <c r="C25">
        <v>2265.7399999999998</v>
      </c>
      <c r="D25">
        <v>20859.7</v>
      </c>
      <c r="E25">
        <v>2715.27</v>
      </c>
      <c r="F25">
        <v>8633.89</v>
      </c>
      <c r="G25">
        <v>12495.59</v>
      </c>
      <c r="H25">
        <v>27902.73</v>
      </c>
      <c r="I25">
        <v>27425.45</v>
      </c>
      <c r="J25">
        <v>754.4</v>
      </c>
      <c r="K25">
        <v>26389.64</v>
      </c>
      <c r="L25">
        <v>1235.47</v>
      </c>
      <c r="M25">
        <v>933.03</v>
      </c>
      <c r="N25">
        <v>1389.17</v>
      </c>
      <c r="O25">
        <v>8274.5499999999993</v>
      </c>
      <c r="P25">
        <v>16507.759999999998</v>
      </c>
      <c r="Q25" s="6">
        <v>22347.69</v>
      </c>
      <c r="R25">
        <v>6480.03</v>
      </c>
      <c r="S25">
        <v>29558.45</v>
      </c>
      <c r="T25">
        <v>2426.98</v>
      </c>
      <c r="U25">
        <v>6753.29</v>
      </c>
      <c r="V25">
        <v>17937.490000000002</v>
      </c>
      <c r="W25">
        <v>2754.39</v>
      </c>
      <c r="X25">
        <v>6398.47</v>
      </c>
      <c r="Y25">
        <v>897.21</v>
      </c>
      <c r="Z25">
        <v>29689.66</v>
      </c>
      <c r="AA25">
        <v>36907.51</v>
      </c>
      <c r="AB25">
        <v>9074.6</v>
      </c>
      <c r="AC25">
        <v>3076.02</v>
      </c>
      <c r="AD25">
        <v>2215.84</v>
      </c>
      <c r="AE25">
        <v>2225.08</v>
      </c>
      <c r="AF25">
        <v>1028.3499999999999</v>
      </c>
      <c r="AG25">
        <v>1787.53</v>
      </c>
      <c r="AH25">
        <v>7092.8</v>
      </c>
      <c r="AI25">
        <v>3249.03</v>
      </c>
      <c r="AJ25">
        <v>2195.27</v>
      </c>
      <c r="AK25">
        <v>8336.66</v>
      </c>
      <c r="AL25" s="6">
        <v>57512.33</v>
      </c>
      <c r="AM25">
        <v>20982.71</v>
      </c>
      <c r="AN25">
        <v>27994.14</v>
      </c>
      <c r="AO25">
        <v>3144.12</v>
      </c>
      <c r="AP25">
        <v>8378.0400000000009</v>
      </c>
      <c r="AQ25">
        <v>26015.11</v>
      </c>
      <c r="AR25">
        <v>5316.49</v>
      </c>
      <c r="AS25">
        <v>7187.17</v>
      </c>
      <c r="AT25">
        <v>5255.51</v>
      </c>
      <c r="AU25" s="6">
        <v>2839.86</v>
      </c>
      <c r="AV25">
        <v>18520.79</v>
      </c>
      <c r="AW25">
        <v>580.39</v>
      </c>
      <c r="AX25">
        <v>21652.17</v>
      </c>
      <c r="AY25">
        <v>5677</v>
      </c>
      <c r="AZ25">
        <v>24841.06</v>
      </c>
      <c r="BA25">
        <v>8228.98</v>
      </c>
      <c r="BB25">
        <v>22773.58</v>
      </c>
      <c r="BC25">
        <v>2504.69</v>
      </c>
      <c r="BD25">
        <v>2799.2</v>
      </c>
      <c r="BE25">
        <v>2608.4499999999998</v>
      </c>
      <c r="BF25">
        <v>1344.54</v>
      </c>
      <c r="BG25">
        <v>2082.2800000000002</v>
      </c>
      <c r="BH25">
        <v>17485.37</v>
      </c>
      <c r="BI25">
        <v>5393.81</v>
      </c>
      <c r="BJ25">
        <v>3882.02</v>
      </c>
      <c r="BK25">
        <v>29434.94</v>
      </c>
      <c r="BL25">
        <v>2941.67</v>
      </c>
      <c r="BM25">
        <v>1061.82</v>
      </c>
      <c r="BN25">
        <v>12046.74</v>
      </c>
      <c r="BO25">
        <v>3811.25</v>
      </c>
      <c r="BP25">
        <v>1411.88</v>
      </c>
      <c r="BQ25">
        <v>19454.93</v>
      </c>
      <c r="BR25">
        <v>4569.88</v>
      </c>
      <c r="BS25">
        <v>2785.74</v>
      </c>
      <c r="BT25">
        <v>28588.59</v>
      </c>
      <c r="BU25">
        <v>24426.65</v>
      </c>
      <c r="BV25">
        <v>26090.47</v>
      </c>
      <c r="BW25">
        <v>5283.5</v>
      </c>
      <c r="BX25">
        <v>3119.62</v>
      </c>
      <c r="BY25">
        <v>29276.15</v>
      </c>
      <c r="BZ25">
        <v>2034.52</v>
      </c>
      <c r="CA25">
        <v>1069.94</v>
      </c>
      <c r="CB25">
        <v>10772.28</v>
      </c>
      <c r="CC25">
        <v>15899.35</v>
      </c>
      <c r="CD25">
        <v>35137.910000000003</v>
      </c>
      <c r="CE25">
        <v>1244.06</v>
      </c>
      <c r="CF25">
        <v>4641.63</v>
      </c>
      <c r="CG25">
        <v>333.73</v>
      </c>
      <c r="CH25">
        <v>7581.19</v>
      </c>
      <c r="CI25">
        <v>3409.33</v>
      </c>
      <c r="CJ25">
        <v>1598.15</v>
      </c>
      <c r="CK25">
        <v>48444.83</v>
      </c>
      <c r="CL25">
        <v>4294.97</v>
      </c>
      <c r="CM25">
        <v>1097.1199999999999</v>
      </c>
      <c r="CN25">
        <v>5256.86</v>
      </c>
      <c r="CO25">
        <v>12940.73</v>
      </c>
      <c r="CP25">
        <v>684.27</v>
      </c>
      <c r="CQ25">
        <v>14919.35</v>
      </c>
      <c r="CR25">
        <v>872.23</v>
      </c>
      <c r="CS25">
        <v>1837.11</v>
      </c>
      <c r="CT25">
        <v>454.43</v>
      </c>
      <c r="CU25">
        <v>2092.11</v>
      </c>
      <c r="CV25">
        <v>18425.689999999999</v>
      </c>
      <c r="CW25">
        <v>11381.47</v>
      </c>
      <c r="CX25">
        <v>974.23</v>
      </c>
      <c r="CY25">
        <v>9950.76</v>
      </c>
      <c r="CZ25">
        <v>4828.58</v>
      </c>
      <c r="DA25">
        <v>741.29</v>
      </c>
      <c r="DB25">
        <v>492.01</v>
      </c>
      <c r="DC25">
        <v>2861.13</v>
      </c>
      <c r="DD25">
        <v>27501.26</v>
      </c>
      <c r="DE25">
        <v>27642.1</v>
      </c>
      <c r="DF25">
        <v>1093.77</v>
      </c>
      <c r="DG25">
        <v>21789.040000000001</v>
      </c>
      <c r="DH25">
        <v>10044.9</v>
      </c>
      <c r="DI25">
        <v>2527.46</v>
      </c>
      <c r="DJ25">
        <v>7455.65</v>
      </c>
      <c r="DK25">
        <v>3701.27</v>
      </c>
      <c r="DL25">
        <v>3718.07</v>
      </c>
      <c r="DM25">
        <v>8819.7199999999993</v>
      </c>
      <c r="DN25">
        <v>16032.79</v>
      </c>
      <c r="DO25">
        <v>3785.6</v>
      </c>
      <c r="DP25">
        <v>2945.26</v>
      </c>
      <c r="DQ25">
        <v>6538.95</v>
      </c>
      <c r="DR25">
        <v>1033.1300000000001</v>
      </c>
      <c r="DS25" s="6">
        <v>18226.169999999998</v>
      </c>
      <c r="DT25">
        <v>1365.93</v>
      </c>
      <c r="DU25">
        <v>2280.8000000000002</v>
      </c>
      <c r="DV25">
        <v>24192.41</v>
      </c>
      <c r="DW25">
        <v>1540.98</v>
      </c>
      <c r="DX25">
        <v>2993.1</v>
      </c>
      <c r="DY25">
        <v>1595.49</v>
      </c>
      <c r="DZ25">
        <v>5960.43</v>
      </c>
      <c r="EA25">
        <v>25397.99</v>
      </c>
      <c r="EB25">
        <v>6638.74</v>
      </c>
      <c r="EC25">
        <v>18691.57</v>
      </c>
      <c r="ED25">
        <v>1005.55</v>
      </c>
      <c r="EE25">
        <v>13764.54</v>
      </c>
      <c r="EF25">
        <v>1058.26</v>
      </c>
      <c r="EG25">
        <v>1175.83</v>
      </c>
      <c r="EH25">
        <v>6459.31</v>
      </c>
      <c r="EI25">
        <v>9248.27</v>
      </c>
      <c r="EJ25">
        <v>6283.76</v>
      </c>
      <c r="EK25">
        <v>10943.41</v>
      </c>
      <c r="EL25">
        <v>23078.42</v>
      </c>
      <c r="EM25">
        <v>909.74</v>
      </c>
      <c r="EN25">
        <v>814.1</v>
      </c>
      <c r="EO25">
        <v>10685.8</v>
      </c>
      <c r="EP25">
        <v>37473</v>
      </c>
      <c r="EQ25">
        <v>6678.73</v>
      </c>
      <c r="ER25">
        <v>7679.17</v>
      </c>
      <c r="ES25">
        <v>18330.79</v>
      </c>
      <c r="ET25">
        <v>1476.73</v>
      </c>
      <c r="EU25">
        <v>7925.11</v>
      </c>
      <c r="EV25">
        <v>1012.02</v>
      </c>
      <c r="EW25">
        <v>4511.71</v>
      </c>
    </row>
    <row r="26" spans="1:153" x14ac:dyDescent="0.35">
      <c r="A26">
        <v>1994</v>
      </c>
      <c r="B26">
        <v>48549.7</v>
      </c>
      <c r="C26">
        <v>2388.54</v>
      </c>
      <c r="D26">
        <v>22067.57</v>
      </c>
      <c r="E26">
        <v>3315.14</v>
      </c>
      <c r="F26">
        <v>9957.27</v>
      </c>
      <c r="G26">
        <v>12952.33</v>
      </c>
      <c r="H26">
        <v>29004.9</v>
      </c>
      <c r="I26">
        <v>28673.78</v>
      </c>
      <c r="J26">
        <v>769</v>
      </c>
      <c r="K26">
        <v>27282.57</v>
      </c>
      <c r="L26">
        <v>1108.3499999999999</v>
      </c>
      <c r="M26">
        <v>859.43</v>
      </c>
      <c r="N26">
        <v>1426.18</v>
      </c>
      <c r="O26">
        <v>8330.2999999999993</v>
      </c>
      <c r="P26">
        <v>16157.99</v>
      </c>
      <c r="Q26" s="6">
        <v>23055.99</v>
      </c>
      <c r="R26">
        <v>6979.93</v>
      </c>
      <c r="S26">
        <v>29969.02</v>
      </c>
      <c r="T26">
        <v>2615.4299999999998</v>
      </c>
      <c r="U26">
        <v>7461.99</v>
      </c>
      <c r="V26">
        <v>18851.47</v>
      </c>
      <c r="W26">
        <v>2858.74</v>
      </c>
      <c r="X26">
        <v>6597.06</v>
      </c>
      <c r="Y26">
        <v>1030.94</v>
      </c>
      <c r="Z26">
        <v>31000.87</v>
      </c>
      <c r="AA26">
        <v>37536.28</v>
      </c>
      <c r="AB26">
        <v>9820.58</v>
      </c>
      <c r="AC26">
        <v>3247.19</v>
      </c>
      <c r="AD26">
        <v>2263.2600000000002</v>
      </c>
      <c r="AE26">
        <v>2235.29</v>
      </c>
      <c r="AF26">
        <v>748.86</v>
      </c>
      <c r="AG26">
        <v>1602.74</v>
      </c>
      <c r="AH26">
        <v>7397.7</v>
      </c>
      <c r="AI26">
        <v>2698.33</v>
      </c>
      <c r="AJ26">
        <v>2426.0300000000002</v>
      </c>
      <c r="AK26">
        <v>8615.4</v>
      </c>
      <c r="AL26" s="6">
        <v>57587.94</v>
      </c>
      <c r="AM26">
        <v>22113.49</v>
      </c>
      <c r="AN26">
        <v>29026.560000000001</v>
      </c>
      <c r="AO26">
        <v>2305.31</v>
      </c>
      <c r="AP26">
        <v>8201.2999999999993</v>
      </c>
      <c r="AQ26">
        <v>27348.97</v>
      </c>
      <c r="AR26">
        <v>5509.98</v>
      </c>
      <c r="AS26">
        <v>6922.82</v>
      </c>
      <c r="AT26">
        <v>5276.33</v>
      </c>
      <c r="AU26" s="6">
        <v>3177.48</v>
      </c>
      <c r="AV26">
        <v>19277.68</v>
      </c>
      <c r="AW26">
        <v>523.92999999999995</v>
      </c>
      <c r="AX26">
        <v>22334.84</v>
      </c>
      <c r="AY26">
        <v>5830.81</v>
      </c>
      <c r="AZ26">
        <v>25357.98</v>
      </c>
      <c r="BA26">
        <v>8638.3700000000008</v>
      </c>
      <c r="BB26">
        <v>23393.97</v>
      </c>
      <c r="BC26">
        <v>2594.1799999999998</v>
      </c>
      <c r="BD26">
        <v>2808.29</v>
      </c>
      <c r="BE26">
        <v>2565.4499999999998</v>
      </c>
      <c r="BF26">
        <v>1456.57</v>
      </c>
      <c r="BG26">
        <v>1376.77</v>
      </c>
      <c r="BH26">
        <v>18231.580000000002</v>
      </c>
      <c r="BI26">
        <v>5645.31</v>
      </c>
      <c r="BJ26">
        <v>4044.06</v>
      </c>
      <c r="BK26">
        <v>30986.25</v>
      </c>
      <c r="BL26">
        <v>2912.48</v>
      </c>
      <c r="BM26">
        <v>956.81</v>
      </c>
      <c r="BN26">
        <v>12765.25</v>
      </c>
      <c r="BO26">
        <v>4018.89</v>
      </c>
      <c r="BP26">
        <v>1481.48</v>
      </c>
      <c r="BQ26">
        <v>20696.87</v>
      </c>
      <c r="BR26">
        <v>4877.8100000000004</v>
      </c>
      <c r="BS26">
        <v>2533.84</v>
      </c>
      <c r="BT26">
        <v>29089.55</v>
      </c>
      <c r="BU26">
        <v>25515.09</v>
      </c>
      <c r="BV26">
        <v>27046.76</v>
      </c>
      <c r="BW26">
        <v>5285.83</v>
      </c>
      <c r="BX26">
        <v>3279.07</v>
      </c>
      <c r="BY26">
        <v>30236.99</v>
      </c>
      <c r="BZ26">
        <v>2255.39</v>
      </c>
      <c r="CA26">
        <v>1117.04</v>
      </c>
      <c r="CB26">
        <v>11611.53</v>
      </c>
      <c r="CC26">
        <v>17838.98</v>
      </c>
      <c r="CD26">
        <v>40713.760000000002</v>
      </c>
      <c r="CE26">
        <v>1306.6400000000001</v>
      </c>
      <c r="CF26">
        <v>4907.32</v>
      </c>
      <c r="CG26">
        <v>259.45999999999998</v>
      </c>
      <c r="CH26">
        <v>7268.78</v>
      </c>
      <c r="CI26">
        <v>3607.08</v>
      </c>
      <c r="CJ26">
        <v>1637.42</v>
      </c>
      <c r="CK26">
        <v>50528.83</v>
      </c>
      <c r="CL26">
        <v>4745.5200000000004</v>
      </c>
      <c r="CM26">
        <v>1074.43</v>
      </c>
      <c r="CN26">
        <v>5469.47</v>
      </c>
      <c r="CO26">
        <v>13461.31</v>
      </c>
      <c r="CP26">
        <v>667.95</v>
      </c>
      <c r="CQ26">
        <v>15700.9</v>
      </c>
      <c r="CR26">
        <v>899.25</v>
      </c>
      <c r="CS26">
        <v>1969.94</v>
      </c>
      <c r="CT26">
        <v>483.7</v>
      </c>
      <c r="CU26">
        <v>2131.09</v>
      </c>
      <c r="CV26">
        <v>19439.810000000001</v>
      </c>
      <c r="CW26">
        <v>11913.08</v>
      </c>
      <c r="CX26">
        <v>1060.0999999999999</v>
      </c>
      <c r="CY26">
        <v>10749.64</v>
      </c>
      <c r="CZ26">
        <v>4926.79</v>
      </c>
      <c r="DA26">
        <v>729.95</v>
      </c>
      <c r="DB26">
        <v>443.65</v>
      </c>
      <c r="DC26">
        <v>2935.03</v>
      </c>
      <c r="DD26">
        <v>28414.400000000001</v>
      </c>
      <c r="DE26">
        <v>28673.599999999999</v>
      </c>
      <c r="DF26">
        <v>1209.67</v>
      </c>
      <c r="DG26">
        <v>22972.32</v>
      </c>
      <c r="DH26">
        <v>9747.0300000000007</v>
      </c>
      <c r="DI26">
        <v>2533.39</v>
      </c>
      <c r="DJ26">
        <v>7493.6</v>
      </c>
      <c r="DK26">
        <v>4258.29</v>
      </c>
      <c r="DL26">
        <v>4037.66</v>
      </c>
      <c r="DM26">
        <v>9534.25</v>
      </c>
      <c r="DN26">
        <v>17076.16</v>
      </c>
      <c r="DO26">
        <v>3897.91</v>
      </c>
      <c r="DP26">
        <v>3280.58</v>
      </c>
      <c r="DQ26">
        <v>7078.42</v>
      </c>
      <c r="DR26">
        <v>499.96</v>
      </c>
      <c r="DS26" s="6">
        <v>17449.099999999999</v>
      </c>
      <c r="DT26">
        <v>1410.22</v>
      </c>
      <c r="DU26">
        <v>2250.2199999999998</v>
      </c>
      <c r="DV26">
        <v>25948.09</v>
      </c>
      <c r="DW26">
        <v>1734.28</v>
      </c>
      <c r="DX26">
        <v>3233.65</v>
      </c>
      <c r="DY26">
        <v>1547.83</v>
      </c>
      <c r="DZ26">
        <v>5889.15</v>
      </c>
      <c r="EA26">
        <v>26916.06</v>
      </c>
      <c r="EB26">
        <v>6705.2</v>
      </c>
      <c r="EC26">
        <v>19051</v>
      </c>
      <c r="ED26">
        <v>943.43</v>
      </c>
      <c r="EE26">
        <v>14802.72</v>
      </c>
      <c r="EF26">
        <v>1070.48</v>
      </c>
      <c r="EG26">
        <v>1301.51</v>
      </c>
      <c r="EH26">
        <v>7100.84</v>
      </c>
      <c r="EI26">
        <v>9528.25</v>
      </c>
      <c r="EJ26">
        <v>6794.87</v>
      </c>
      <c r="EK26">
        <v>10088.77</v>
      </c>
      <c r="EL26">
        <v>24475.86</v>
      </c>
      <c r="EM26">
        <v>853.56</v>
      </c>
      <c r="EN26">
        <v>1054.73</v>
      </c>
      <c r="EO26">
        <v>11595.67</v>
      </c>
      <c r="EP26">
        <v>38727.39</v>
      </c>
      <c r="EQ26">
        <v>6458.45</v>
      </c>
      <c r="ER26">
        <v>7374.15</v>
      </c>
      <c r="ES26">
        <v>22763.040000000001</v>
      </c>
      <c r="ET26">
        <v>1529.88</v>
      </c>
      <c r="EU26">
        <v>8030.25</v>
      </c>
      <c r="EV26">
        <v>954.61</v>
      </c>
      <c r="EW26">
        <v>4962.8999999999996</v>
      </c>
    </row>
    <row r="27" spans="1:153" x14ac:dyDescent="0.35">
      <c r="A27">
        <v>1995</v>
      </c>
      <c r="B27">
        <v>43330.89</v>
      </c>
      <c r="C27">
        <v>2342.61</v>
      </c>
      <c r="D27">
        <v>20537.23</v>
      </c>
      <c r="E27">
        <v>3619.52</v>
      </c>
      <c r="F27">
        <v>10912.57</v>
      </c>
      <c r="G27">
        <v>12134</v>
      </c>
      <c r="H27">
        <v>30113.61</v>
      </c>
      <c r="I27">
        <v>30071.43</v>
      </c>
      <c r="J27">
        <v>693.7</v>
      </c>
      <c r="K27">
        <v>28083.8</v>
      </c>
      <c r="L27">
        <v>1150.76</v>
      </c>
      <c r="M27">
        <v>879.42</v>
      </c>
      <c r="N27">
        <v>1450.09</v>
      </c>
      <c r="O27">
        <v>8125.19</v>
      </c>
      <c r="P27">
        <v>16560.27</v>
      </c>
      <c r="Q27" s="6">
        <v>23629.54</v>
      </c>
      <c r="R27">
        <v>7453.35</v>
      </c>
      <c r="S27">
        <v>31282.67</v>
      </c>
      <c r="T27">
        <v>2840.4</v>
      </c>
      <c r="U27">
        <v>8543.2999999999993</v>
      </c>
      <c r="V27">
        <v>19333.080000000002</v>
      </c>
      <c r="W27">
        <v>3183.69</v>
      </c>
      <c r="X27">
        <v>7064.44</v>
      </c>
      <c r="Y27">
        <v>1021.09</v>
      </c>
      <c r="Z27">
        <v>32066.21</v>
      </c>
      <c r="AA27">
        <v>37769.68</v>
      </c>
      <c r="AB27">
        <v>11158.51</v>
      </c>
      <c r="AC27">
        <v>3424.93</v>
      </c>
      <c r="AD27">
        <v>2389.2800000000002</v>
      </c>
      <c r="AE27">
        <v>2302.27</v>
      </c>
      <c r="AF27">
        <v>758.46</v>
      </c>
      <c r="AG27">
        <v>1479.92</v>
      </c>
      <c r="AH27">
        <v>7604.22</v>
      </c>
      <c r="AI27">
        <v>3146.15</v>
      </c>
      <c r="AJ27">
        <v>2414.94</v>
      </c>
      <c r="AK27">
        <v>8860.11</v>
      </c>
      <c r="AL27" s="6">
        <v>57231.55</v>
      </c>
      <c r="AM27">
        <v>23219.18</v>
      </c>
      <c r="AN27">
        <v>29964.79</v>
      </c>
      <c r="AO27">
        <v>2677.7</v>
      </c>
      <c r="AP27">
        <v>8335.86</v>
      </c>
      <c r="AQ27">
        <v>28257.599999999999</v>
      </c>
      <c r="AR27">
        <v>5675.64</v>
      </c>
      <c r="AS27">
        <v>7035.57</v>
      </c>
      <c r="AT27">
        <v>5182.49</v>
      </c>
      <c r="AU27" s="6">
        <v>3657.96</v>
      </c>
      <c r="AV27">
        <v>20313.759999999998</v>
      </c>
      <c r="AW27">
        <v>560.82000000000005</v>
      </c>
      <c r="AX27">
        <v>24622.080000000002</v>
      </c>
      <c r="AY27">
        <v>5883.31</v>
      </c>
      <c r="AZ27">
        <v>25762.37</v>
      </c>
      <c r="BA27">
        <v>8654.64</v>
      </c>
      <c r="BB27">
        <v>25831.61</v>
      </c>
      <c r="BC27">
        <v>2616.27</v>
      </c>
      <c r="BD27">
        <v>2837.2</v>
      </c>
      <c r="BE27">
        <v>2503.6999999999998</v>
      </c>
      <c r="BF27">
        <v>1453.39</v>
      </c>
      <c r="BG27">
        <v>1556.56</v>
      </c>
      <c r="BH27">
        <v>18972.84</v>
      </c>
      <c r="BI27">
        <v>5678.77</v>
      </c>
      <c r="BJ27">
        <v>4215.45</v>
      </c>
      <c r="BK27">
        <v>31325.759999999998</v>
      </c>
      <c r="BL27">
        <v>3052.07</v>
      </c>
      <c r="BM27">
        <v>1223.46</v>
      </c>
      <c r="BN27">
        <v>13300.7</v>
      </c>
      <c r="BO27">
        <v>4292</v>
      </c>
      <c r="BP27">
        <v>1560.45</v>
      </c>
      <c r="BQ27">
        <v>23428.95</v>
      </c>
      <c r="BR27">
        <v>5036.1400000000003</v>
      </c>
      <c r="BS27">
        <v>1999.99</v>
      </c>
      <c r="BT27">
        <v>29273.03</v>
      </c>
      <c r="BU27">
        <v>27008.99</v>
      </c>
      <c r="BV27">
        <v>28320.12</v>
      </c>
      <c r="BW27">
        <v>5330.92</v>
      </c>
      <c r="BX27">
        <v>3312.71</v>
      </c>
      <c r="BY27">
        <v>31912.36</v>
      </c>
      <c r="BZ27">
        <v>2096.63</v>
      </c>
      <c r="CA27">
        <v>1180.23</v>
      </c>
      <c r="CB27">
        <v>11959.91</v>
      </c>
      <c r="CC27">
        <v>20014.560000000001</v>
      </c>
      <c r="CD27">
        <v>42295.48</v>
      </c>
      <c r="CE27">
        <v>1369.56</v>
      </c>
      <c r="CF27">
        <v>5200.8599999999997</v>
      </c>
      <c r="CG27">
        <v>241.23</v>
      </c>
      <c r="CH27">
        <v>7699.57</v>
      </c>
      <c r="CI27">
        <v>3791.23</v>
      </c>
      <c r="CJ27">
        <v>1654.34</v>
      </c>
      <c r="CK27">
        <v>50686.89</v>
      </c>
      <c r="CL27">
        <v>4620.97</v>
      </c>
      <c r="CM27">
        <v>1065.6199999999999</v>
      </c>
      <c r="CN27">
        <v>5508.95</v>
      </c>
      <c r="CO27">
        <v>10873.53</v>
      </c>
      <c r="CP27">
        <v>876.98</v>
      </c>
      <c r="CQ27">
        <v>16547.75</v>
      </c>
      <c r="CR27">
        <v>957.12</v>
      </c>
      <c r="CS27">
        <v>2537.23</v>
      </c>
      <c r="CT27">
        <v>426.59</v>
      </c>
      <c r="CU27">
        <v>2023.95</v>
      </c>
      <c r="CV27">
        <v>18177.46</v>
      </c>
      <c r="CW27">
        <v>12961.22</v>
      </c>
      <c r="CX27">
        <v>1059.3699999999999</v>
      </c>
      <c r="CY27">
        <v>11717.2</v>
      </c>
      <c r="CZ27">
        <v>4865.12</v>
      </c>
      <c r="DA27">
        <v>753.48</v>
      </c>
      <c r="DB27">
        <v>415.48</v>
      </c>
      <c r="DC27">
        <v>3068.76</v>
      </c>
      <c r="DD27">
        <v>29445.68</v>
      </c>
      <c r="DE27">
        <v>30007.16</v>
      </c>
      <c r="DF27">
        <v>1228.33</v>
      </c>
      <c r="DG27">
        <v>23947.9</v>
      </c>
      <c r="DH27">
        <v>10199.040000000001</v>
      </c>
      <c r="DI27">
        <v>2618.9299999999998</v>
      </c>
      <c r="DJ27">
        <v>7293.92</v>
      </c>
      <c r="DK27">
        <v>4707.05</v>
      </c>
      <c r="DL27">
        <v>4377.09</v>
      </c>
      <c r="DM27">
        <v>10493.75</v>
      </c>
      <c r="DN27">
        <v>17914.560000000001</v>
      </c>
      <c r="DO27">
        <v>3988.32</v>
      </c>
      <c r="DP27">
        <v>3350.62</v>
      </c>
      <c r="DQ27">
        <v>7471.87</v>
      </c>
      <c r="DR27">
        <v>621.79</v>
      </c>
      <c r="DS27" s="6">
        <v>17114.07</v>
      </c>
      <c r="DT27">
        <v>1373.59</v>
      </c>
      <c r="DU27">
        <v>2211.39</v>
      </c>
      <c r="DV27">
        <v>28065.49</v>
      </c>
      <c r="DW27">
        <v>1627.16</v>
      </c>
      <c r="DX27">
        <v>3546.68</v>
      </c>
      <c r="DY27">
        <v>1465.01</v>
      </c>
      <c r="DZ27">
        <v>5561.67</v>
      </c>
      <c r="EA27">
        <v>28669.11</v>
      </c>
      <c r="EB27">
        <v>7517.56</v>
      </c>
      <c r="EC27">
        <v>17785.05</v>
      </c>
      <c r="ED27">
        <v>979.95</v>
      </c>
      <c r="EE27">
        <v>15155.93</v>
      </c>
      <c r="EF27">
        <v>1060.0999999999999</v>
      </c>
      <c r="EG27">
        <v>1278.97</v>
      </c>
      <c r="EH27">
        <v>7917.7</v>
      </c>
      <c r="EI27">
        <v>9555.0499999999993</v>
      </c>
      <c r="EJ27">
        <v>7242.22</v>
      </c>
      <c r="EK27">
        <v>10543.62</v>
      </c>
      <c r="EL27">
        <v>25803.81</v>
      </c>
      <c r="EM27">
        <v>863.52</v>
      </c>
      <c r="EN27">
        <v>1026.8399999999999</v>
      </c>
      <c r="EO27">
        <v>11451.72</v>
      </c>
      <c r="EP27">
        <v>39360.639999999999</v>
      </c>
      <c r="EQ27">
        <v>6826.08</v>
      </c>
      <c r="ER27">
        <v>7328.84</v>
      </c>
      <c r="ES27">
        <v>27557.74</v>
      </c>
      <c r="ET27">
        <v>1625.68</v>
      </c>
      <c r="EU27">
        <v>8260.51</v>
      </c>
      <c r="EV27">
        <v>950.81</v>
      </c>
      <c r="EW27">
        <v>4655.58</v>
      </c>
    </row>
    <row r="28" spans="1:153" x14ac:dyDescent="0.35">
      <c r="A28">
        <v>1996</v>
      </c>
      <c r="B28">
        <v>45676.58</v>
      </c>
      <c r="C28">
        <v>3053.9</v>
      </c>
      <c r="D28">
        <v>20484.91</v>
      </c>
      <c r="E28">
        <v>4083.91</v>
      </c>
      <c r="F28">
        <v>13962.05</v>
      </c>
      <c r="G28">
        <v>12468.59</v>
      </c>
      <c r="H28">
        <v>31373.919999999998</v>
      </c>
      <c r="I28">
        <v>30714.400000000001</v>
      </c>
      <c r="J28">
        <v>644.36</v>
      </c>
      <c r="K28">
        <v>28206.59</v>
      </c>
      <c r="L28">
        <v>1212.1500000000001</v>
      </c>
      <c r="M28">
        <v>946.14</v>
      </c>
      <c r="N28">
        <v>1453.89</v>
      </c>
      <c r="O28">
        <v>7212.09</v>
      </c>
      <c r="P28">
        <v>16081.81</v>
      </c>
      <c r="Q28" s="6">
        <v>27045.21</v>
      </c>
      <c r="R28">
        <v>6667.22</v>
      </c>
      <c r="S28">
        <v>32534.12</v>
      </c>
      <c r="T28">
        <v>3060.39</v>
      </c>
      <c r="U28">
        <v>10068.18</v>
      </c>
      <c r="V28">
        <v>21700.14</v>
      </c>
      <c r="W28">
        <v>3379.31</v>
      </c>
      <c r="X28">
        <v>8292.7000000000007</v>
      </c>
      <c r="Y28">
        <v>874.82</v>
      </c>
      <c r="Z28">
        <v>32696</v>
      </c>
      <c r="AA28">
        <v>38224.92</v>
      </c>
      <c r="AB28">
        <v>11428.98</v>
      </c>
      <c r="AC28">
        <v>3645.35</v>
      </c>
      <c r="AD28">
        <v>2534.25</v>
      </c>
      <c r="AE28">
        <v>2397.19</v>
      </c>
      <c r="AF28">
        <v>655.55</v>
      </c>
      <c r="AG28">
        <v>1697.66</v>
      </c>
      <c r="AH28">
        <v>7532.38</v>
      </c>
      <c r="AI28">
        <v>3030.75</v>
      </c>
      <c r="AJ28">
        <v>2707</v>
      </c>
      <c r="AK28">
        <v>8678.09</v>
      </c>
      <c r="AL28" s="6">
        <v>56774.71</v>
      </c>
      <c r="AM28">
        <v>23000.3</v>
      </c>
      <c r="AN28">
        <v>30273.200000000001</v>
      </c>
      <c r="AO28">
        <v>2378.7199999999998</v>
      </c>
      <c r="AP28">
        <v>8265.0300000000007</v>
      </c>
      <c r="AQ28">
        <v>29179.49</v>
      </c>
      <c r="AR28">
        <v>5970.87</v>
      </c>
      <c r="AS28">
        <v>7668.56</v>
      </c>
      <c r="AT28">
        <v>5138.18</v>
      </c>
      <c r="AU28" s="6">
        <v>4315.93</v>
      </c>
      <c r="AV28">
        <v>20985.94</v>
      </c>
      <c r="AW28">
        <v>557.57000000000005</v>
      </c>
      <c r="AX28">
        <v>24915.19</v>
      </c>
      <c r="AY28">
        <v>6126.85</v>
      </c>
      <c r="AZ28">
        <v>26105.48</v>
      </c>
      <c r="BA28">
        <v>9422.76</v>
      </c>
      <c r="BB28">
        <v>27243.02</v>
      </c>
      <c r="BC28">
        <v>2629</v>
      </c>
      <c r="BD28">
        <v>3016.94</v>
      </c>
      <c r="BE28">
        <v>2524.04</v>
      </c>
      <c r="BF28">
        <v>1463.09</v>
      </c>
      <c r="BG28">
        <v>2339.9299999999998</v>
      </c>
      <c r="BH28">
        <v>19600.89</v>
      </c>
      <c r="BI28">
        <v>6238.8</v>
      </c>
      <c r="BJ28">
        <v>4273.91</v>
      </c>
      <c r="BK28">
        <v>33474.26</v>
      </c>
      <c r="BL28">
        <v>3057.22</v>
      </c>
      <c r="BM28">
        <v>1395.79</v>
      </c>
      <c r="BN28">
        <v>13701.13</v>
      </c>
      <c r="BO28">
        <v>4608.7299999999996</v>
      </c>
      <c r="BP28">
        <v>1669.87</v>
      </c>
      <c r="BQ28">
        <v>25206.37</v>
      </c>
      <c r="BR28">
        <v>6064.92</v>
      </c>
      <c r="BS28">
        <v>2898.08</v>
      </c>
      <c r="BT28">
        <v>30188.92</v>
      </c>
      <c r="BU28">
        <v>28246.66</v>
      </c>
      <c r="BV28">
        <v>28786.31</v>
      </c>
      <c r="BW28">
        <v>5426.48</v>
      </c>
      <c r="BX28">
        <v>3219.91</v>
      </c>
      <c r="BY28">
        <v>33783.33</v>
      </c>
      <c r="BZ28">
        <v>2144.6799999999998</v>
      </c>
      <c r="CA28">
        <v>1106.33</v>
      </c>
      <c r="CB28">
        <v>13080.53</v>
      </c>
      <c r="CC28">
        <v>21902.400000000001</v>
      </c>
      <c r="CD28">
        <v>43079.59</v>
      </c>
      <c r="CE28">
        <v>1445.42</v>
      </c>
      <c r="CF28">
        <v>5424.68</v>
      </c>
      <c r="CG28">
        <v>223.09</v>
      </c>
      <c r="CH28">
        <v>8183.4</v>
      </c>
      <c r="CI28">
        <v>4034.19</v>
      </c>
      <c r="CJ28">
        <v>1792.1</v>
      </c>
      <c r="CK28">
        <v>51957.440000000002</v>
      </c>
      <c r="CL28">
        <v>5372.43</v>
      </c>
      <c r="CM28">
        <v>1081.5</v>
      </c>
      <c r="CN28">
        <v>6029.05</v>
      </c>
      <c r="CO28">
        <v>11250.28</v>
      </c>
      <c r="CP28">
        <v>1052.17</v>
      </c>
      <c r="CQ28">
        <v>17031.419999999998</v>
      </c>
      <c r="CR28">
        <v>972.27</v>
      </c>
      <c r="CS28">
        <v>2313.87</v>
      </c>
      <c r="CT28">
        <v>527.45000000000005</v>
      </c>
      <c r="CU28">
        <v>2178.96</v>
      </c>
      <c r="CV28">
        <v>15056.83</v>
      </c>
      <c r="CW28">
        <v>14235.99</v>
      </c>
      <c r="CX28">
        <v>1033.81</v>
      </c>
      <c r="CY28">
        <v>12696.65</v>
      </c>
      <c r="CZ28">
        <v>5117.8900000000003</v>
      </c>
      <c r="DA28">
        <v>734.42</v>
      </c>
      <c r="DB28">
        <v>414.52</v>
      </c>
      <c r="DC28">
        <v>3121.64</v>
      </c>
      <c r="DD28">
        <v>30625.13</v>
      </c>
      <c r="DE28">
        <v>32593.81</v>
      </c>
      <c r="DF28">
        <v>1302.8399999999999</v>
      </c>
      <c r="DG28">
        <v>24858.12</v>
      </c>
      <c r="DH28">
        <v>11053.9</v>
      </c>
      <c r="DI28">
        <v>2689.32</v>
      </c>
      <c r="DJ28">
        <v>7535.38</v>
      </c>
      <c r="DK28">
        <v>4872.3599999999997</v>
      </c>
      <c r="DL28">
        <v>4681.26</v>
      </c>
      <c r="DM28">
        <v>11295.47</v>
      </c>
      <c r="DN28">
        <v>18472.02</v>
      </c>
      <c r="DO28">
        <v>4035.77</v>
      </c>
      <c r="DP28">
        <v>3213.65</v>
      </c>
      <c r="DQ28">
        <v>7750.22</v>
      </c>
      <c r="DR28">
        <v>688.6</v>
      </c>
      <c r="DS28" s="6">
        <v>17169.07</v>
      </c>
      <c r="DT28">
        <v>1376.51</v>
      </c>
      <c r="DU28">
        <v>2289.1799999999998</v>
      </c>
      <c r="DV28">
        <v>29659.599999999999</v>
      </c>
      <c r="DW28">
        <v>1374.47</v>
      </c>
      <c r="DX28">
        <v>3639.07</v>
      </c>
      <c r="DY28">
        <v>1516.11</v>
      </c>
      <c r="DZ28">
        <v>6479.26</v>
      </c>
      <c r="EA28">
        <v>29197.11</v>
      </c>
      <c r="EB28">
        <v>7854.39</v>
      </c>
      <c r="EC28">
        <v>18825.29</v>
      </c>
      <c r="ED28">
        <v>957.78</v>
      </c>
      <c r="EE28">
        <v>15681.27</v>
      </c>
      <c r="EF28">
        <v>1011.35</v>
      </c>
      <c r="EG28">
        <v>1452.47</v>
      </c>
      <c r="EH28">
        <v>8650.8700000000008</v>
      </c>
      <c r="EI28">
        <v>9371.35</v>
      </c>
      <c r="EJ28">
        <v>8264.43</v>
      </c>
      <c r="EK28">
        <v>11519.44</v>
      </c>
      <c r="EL28">
        <v>27487.99</v>
      </c>
      <c r="EM28">
        <v>911.42</v>
      </c>
      <c r="EN28">
        <v>1013.11</v>
      </c>
      <c r="EO28">
        <v>12087.74</v>
      </c>
      <c r="EP28">
        <v>40504.65</v>
      </c>
      <c r="EQ28">
        <v>6980.93</v>
      </c>
      <c r="ER28">
        <v>7367.33</v>
      </c>
      <c r="ES28">
        <v>29132.89</v>
      </c>
      <c r="ET28">
        <v>1721.85</v>
      </c>
      <c r="EU28">
        <v>8441.3799999999992</v>
      </c>
      <c r="EV28">
        <v>1029.8499999999999</v>
      </c>
      <c r="EW28">
        <v>5213.07</v>
      </c>
    </row>
    <row r="29" spans="1:153" x14ac:dyDescent="0.35">
      <c r="A29">
        <v>1997</v>
      </c>
      <c r="B29">
        <v>47401.760000000002</v>
      </c>
      <c r="C29">
        <v>2771.25</v>
      </c>
      <c r="D29">
        <v>21867.919999999998</v>
      </c>
      <c r="E29">
        <v>3750.85</v>
      </c>
      <c r="F29">
        <v>14302.34</v>
      </c>
      <c r="G29">
        <v>12839.32</v>
      </c>
      <c r="H29">
        <v>32667.200000000001</v>
      </c>
      <c r="I29">
        <v>32073.02</v>
      </c>
      <c r="J29">
        <v>647.01</v>
      </c>
      <c r="K29">
        <v>29944.3</v>
      </c>
      <c r="L29">
        <v>1269.71</v>
      </c>
      <c r="M29">
        <v>974.47</v>
      </c>
      <c r="N29">
        <v>1425.74</v>
      </c>
      <c r="O29">
        <v>6390.41</v>
      </c>
      <c r="P29">
        <v>17121.25</v>
      </c>
      <c r="Q29" s="6">
        <v>28358.09</v>
      </c>
      <c r="R29">
        <v>6419.21</v>
      </c>
      <c r="S29">
        <v>34326.949999999997</v>
      </c>
      <c r="T29">
        <v>3063.54</v>
      </c>
      <c r="U29">
        <v>9638.01</v>
      </c>
      <c r="V29">
        <v>22521.16</v>
      </c>
      <c r="W29">
        <v>3573.01</v>
      </c>
      <c r="X29">
        <v>8795.27</v>
      </c>
      <c r="Y29">
        <v>915.25</v>
      </c>
      <c r="Z29">
        <v>34042.300000000003</v>
      </c>
      <c r="AA29">
        <v>40131.46</v>
      </c>
      <c r="AB29">
        <v>11563.24</v>
      </c>
      <c r="AC29">
        <v>3712.04</v>
      </c>
      <c r="AD29">
        <v>2465.08</v>
      </c>
      <c r="AE29">
        <v>2429.9299999999998</v>
      </c>
      <c r="AF29">
        <v>655.07000000000005</v>
      </c>
      <c r="AG29">
        <v>1557.15</v>
      </c>
      <c r="AH29">
        <v>7604.15</v>
      </c>
      <c r="AI29">
        <v>2998.91</v>
      </c>
      <c r="AJ29">
        <v>2652.14</v>
      </c>
      <c r="AK29">
        <v>9042.36</v>
      </c>
      <c r="AL29" s="6">
        <v>56465.64</v>
      </c>
      <c r="AM29">
        <v>23146.02</v>
      </c>
      <c r="AN29">
        <v>31469.89</v>
      </c>
      <c r="AO29">
        <v>2525.0100000000002</v>
      </c>
      <c r="AP29">
        <v>7979.81</v>
      </c>
      <c r="AQ29">
        <v>31317.53</v>
      </c>
      <c r="AR29">
        <v>6512.02</v>
      </c>
      <c r="AS29">
        <v>7557.01</v>
      </c>
      <c r="AT29">
        <v>5281.64</v>
      </c>
      <c r="AU29" s="6">
        <v>4434.76</v>
      </c>
      <c r="AV29">
        <v>22497.01</v>
      </c>
      <c r="AW29">
        <v>598.80999999999995</v>
      </c>
      <c r="AX29">
        <v>27438.01</v>
      </c>
      <c r="AY29">
        <v>5824.06</v>
      </c>
      <c r="AZ29">
        <v>27585.64</v>
      </c>
      <c r="BA29">
        <v>7926.84</v>
      </c>
      <c r="BB29">
        <v>28983.41</v>
      </c>
      <c r="BC29">
        <v>2690.37</v>
      </c>
      <c r="BD29">
        <v>2702.78</v>
      </c>
      <c r="BE29">
        <v>2492.63</v>
      </c>
      <c r="BF29">
        <v>1654.97</v>
      </c>
      <c r="BG29">
        <v>5678.66</v>
      </c>
      <c r="BH29">
        <v>21094.03</v>
      </c>
      <c r="BI29">
        <v>6381.65</v>
      </c>
      <c r="BJ29">
        <v>4428.67</v>
      </c>
      <c r="BK29">
        <v>35409.65</v>
      </c>
      <c r="BL29">
        <v>3106.56</v>
      </c>
      <c r="BM29">
        <v>1449.9</v>
      </c>
      <c r="BN29">
        <v>13906.95</v>
      </c>
      <c r="BO29">
        <v>4683.1099999999997</v>
      </c>
      <c r="BP29">
        <v>1740.69</v>
      </c>
      <c r="BQ29">
        <v>28128.83</v>
      </c>
      <c r="BR29">
        <v>6249.28</v>
      </c>
      <c r="BS29">
        <v>3430.77</v>
      </c>
      <c r="BT29">
        <v>33860.239999999998</v>
      </c>
      <c r="BU29">
        <v>29204.98</v>
      </c>
      <c r="BV29">
        <v>30235.73</v>
      </c>
      <c r="BW29">
        <v>5475.38</v>
      </c>
      <c r="BX29">
        <v>3366.67</v>
      </c>
      <c r="BY29">
        <v>33949.57</v>
      </c>
      <c r="BZ29">
        <v>2095.52</v>
      </c>
      <c r="CA29">
        <v>1150.6300000000001</v>
      </c>
      <c r="CB29">
        <v>13096.14</v>
      </c>
      <c r="CC29">
        <v>21429.69</v>
      </c>
      <c r="CD29">
        <v>41488.92</v>
      </c>
      <c r="CE29">
        <v>1501.31</v>
      </c>
      <c r="CF29">
        <v>5609.58</v>
      </c>
      <c r="CG29">
        <v>428.02</v>
      </c>
      <c r="CH29">
        <v>8105.87</v>
      </c>
      <c r="CI29">
        <v>4215.21</v>
      </c>
      <c r="CJ29">
        <v>1905.91</v>
      </c>
      <c r="CK29">
        <v>54779.35</v>
      </c>
      <c r="CL29">
        <v>4934.78</v>
      </c>
      <c r="CM29">
        <v>1085.46</v>
      </c>
      <c r="CN29">
        <v>6457.91</v>
      </c>
      <c r="CO29">
        <v>11973.26</v>
      </c>
      <c r="CP29">
        <v>1106.8</v>
      </c>
      <c r="CQ29">
        <v>18782.07</v>
      </c>
      <c r="CR29">
        <v>979.8</v>
      </c>
      <c r="CS29">
        <v>2417.5700000000002</v>
      </c>
      <c r="CT29">
        <v>602.69000000000005</v>
      </c>
      <c r="CU29">
        <v>2025.91</v>
      </c>
      <c r="CV29">
        <v>14048.86</v>
      </c>
      <c r="CW29">
        <v>13987.31</v>
      </c>
      <c r="CX29">
        <v>1108.3699999999999</v>
      </c>
      <c r="CY29">
        <v>13221.66</v>
      </c>
      <c r="CZ29">
        <v>5093.96</v>
      </c>
      <c r="DA29">
        <v>713.58</v>
      </c>
      <c r="DB29">
        <v>437.38</v>
      </c>
      <c r="DC29">
        <v>3169.13</v>
      </c>
      <c r="DD29">
        <v>33033.26</v>
      </c>
      <c r="DE29">
        <v>35297.29</v>
      </c>
      <c r="DF29">
        <v>1266.76</v>
      </c>
      <c r="DG29">
        <v>25684.31</v>
      </c>
      <c r="DH29">
        <v>11783.72</v>
      </c>
      <c r="DI29">
        <v>2619.5700000000002</v>
      </c>
      <c r="DJ29">
        <v>8181.7</v>
      </c>
      <c r="DK29">
        <v>5145.13</v>
      </c>
      <c r="DL29">
        <v>4575.1000000000004</v>
      </c>
      <c r="DM29">
        <v>11925.55</v>
      </c>
      <c r="DN29">
        <v>19841.490000000002</v>
      </c>
      <c r="DO29">
        <v>4063.53</v>
      </c>
      <c r="DP29">
        <v>3511.96</v>
      </c>
      <c r="DQ29">
        <v>7431.81</v>
      </c>
      <c r="DR29">
        <v>769.9</v>
      </c>
      <c r="DS29" s="6">
        <v>17288.759999999998</v>
      </c>
      <c r="DT29">
        <v>1409.65</v>
      </c>
      <c r="DU29">
        <v>2280.56</v>
      </c>
      <c r="DV29">
        <v>32890.269999999997</v>
      </c>
      <c r="DW29">
        <v>1220.76</v>
      </c>
      <c r="DX29">
        <v>3850.44</v>
      </c>
      <c r="DY29">
        <v>1508.1</v>
      </c>
      <c r="DZ29">
        <v>6955.99</v>
      </c>
      <c r="EA29">
        <v>30596.65</v>
      </c>
      <c r="EB29">
        <v>7566.71</v>
      </c>
      <c r="EC29">
        <v>20751.12</v>
      </c>
      <c r="ED29">
        <v>1067.71</v>
      </c>
      <c r="EE29">
        <v>16270.22</v>
      </c>
      <c r="EF29">
        <v>1101.9100000000001</v>
      </c>
      <c r="EG29">
        <v>1525.59</v>
      </c>
      <c r="EH29">
        <v>8054.27</v>
      </c>
      <c r="EI29">
        <v>9625.2099999999991</v>
      </c>
      <c r="EJ29">
        <v>8165.06</v>
      </c>
      <c r="EK29">
        <v>11997.86</v>
      </c>
      <c r="EL29">
        <v>29142.11</v>
      </c>
      <c r="EM29">
        <v>972.19</v>
      </c>
      <c r="EN29">
        <v>1027.75</v>
      </c>
      <c r="EO29">
        <v>12216.94</v>
      </c>
      <c r="EP29">
        <v>41994.3</v>
      </c>
      <c r="EQ29">
        <v>6909.2</v>
      </c>
      <c r="ER29">
        <v>7083.47</v>
      </c>
      <c r="ES29">
        <v>31509.31</v>
      </c>
      <c r="ET29">
        <v>1835.83</v>
      </c>
      <c r="EU29">
        <v>8491.2000000000007</v>
      </c>
      <c r="EV29">
        <v>1077.8699999999999</v>
      </c>
      <c r="EW29">
        <v>4255.5</v>
      </c>
    </row>
    <row r="30" spans="1:153" x14ac:dyDescent="0.35">
      <c r="A30">
        <v>1998</v>
      </c>
      <c r="B30">
        <v>46852.99</v>
      </c>
      <c r="C30">
        <v>2801.55</v>
      </c>
      <c r="D30">
        <v>24756.89</v>
      </c>
      <c r="E30">
        <v>4142.83</v>
      </c>
      <c r="F30">
        <v>14202.34</v>
      </c>
      <c r="G30">
        <v>13354.57</v>
      </c>
      <c r="H30">
        <v>33802.65</v>
      </c>
      <c r="I30">
        <v>33918.93</v>
      </c>
      <c r="J30">
        <v>680.63</v>
      </c>
      <c r="K30">
        <v>31052.74</v>
      </c>
      <c r="L30">
        <v>1296.1600000000001</v>
      </c>
      <c r="M30">
        <v>1039.8499999999999</v>
      </c>
      <c r="N30">
        <v>1405.54</v>
      </c>
      <c r="O30">
        <v>6765.46</v>
      </c>
      <c r="P30">
        <v>16262.61</v>
      </c>
      <c r="Q30" s="6">
        <v>31252.94</v>
      </c>
      <c r="R30">
        <v>6403.31</v>
      </c>
      <c r="S30">
        <v>35790.379999999997</v>
      </c>
      <c r="T30">
        <v>3081.67</v>
      </c>
      <c r="U30">
        <v>9129.3799999999992</v>
      </c>
      <c r="V30">
        <v>22074.63</v>
      </c>
      <c r="W30">
        <v>3613.33</v>
      </c>
      <c r="X30">
        <v>8503.2199999999993</v>
      </c>
      <c r="Y30">
        <v>940.86</v>
      </c>
      <c r="Z30">
        <v>34639.06</v>
      </c>
      <c r="AA30">
        <v>41964.05</v>
      </c>
      <c r="AB30">
        <v>11316.55</v>
      </c>
      <c r="AC30">
        <v>3744.89</v>
      </c>
      <c r="AD30">
        <v>2436.98</v>
      </c>
      <c r="AE30">
        <v>2491.5700000000002</v>
      </c>
      <c r="AF30">
        <v>565.02</v>
      </c>
      <c r="AG30">
        <v>1232.77</v>
      </c>
      <c r="AH30">
        <v>7322.2</v>
      </c>
      <c r="AI30">
        <v>2762.23</v>
      </c>
      <c r="AJ30">
        <v>2931.37</v>
      </c>
      <c r="AK30">
        <v>9573.91</v>
      </c>
      <c r="AL30" s="6">
        <v>69382.14</v>
      </c>
      <c r="AM30">
        <v>24131.82</v>
      </c>
      <c r="AN30">
        <v>32866.85</v>
      </c>
      <c r="AO30">
        <v>2410.9699999999998</v>
      </c>
      <c r="AP30">
        <v>8820.86</v>
      </c>
      <c r="AQ30">
        <v>32771.83</v>
      </c>
      <c r="AR30">
        <v>7171.99</v>
      </c>
      <c r="AS30">
        <v>7325.97</v>
      </c>
      <c r="AT30">
        <v>5230.41</v>
      </c>
      <c r="AU30" s="6">
        <v>4400.38</v>
      </c>
      <c r="AV30">
        <v>24227.53</v>
      </c>
      <c r="AW30">
        <v>527.96</v>
      </c>
      <c r="AX30">
        <v>30066.77</v>
      </c>
      <c r="AY30">
        <v>5731.67</v>
      </c>
      <c r="AZ30">
        <v>29395.46</v>
      </c>
      <c r="BA30">
        <v>6957.58</v>
      </c>
      <c r="BB30">
        <v>30120.35</v>
      </c>
      <c r="BC30">
        <v>2658.27</v>
      </c>
      <c r="BD30">
        <v>2644.91</v>
      </c>
      <c r="BE30">
        <v>2496.5</v>
      </c>
      <c r="BF30">
        <v>1384.18</v>
      </c>
      <c r="BG30">
        <v>4414.16</v>
      </c>
      <c r="BH30">
        <v>22375.69</v>
      </c>
      <c r="BI30">
        <v>7048.15</v>
      </c>
      <c r="BJ30">
        <v>4615.37</v>
      </c>
      <c r="BK30">
        <v>33543.46</v>
      </c>
      <c r="BL30">
        <v>3130.38</v>
      </c>
      <c r="BM30">
        <v>1445.18</v>
      </c>
      <c r="BN30">
        <v>14155.53</v>
      </c>
      <c r="BO30">
        <v>4262.46</v>
      </c>
      <c r="BP30">
        <v>1833.8</v>
      </c>
      <c r="BQ30">
        <v>31465.32</v>
      </c>
      <c r="BR30">
        <v>6223.89</v>
      </c>
      <c r="BS30">
        <v>4479.2299999999996</v>
      </c>
      <c r="BT30">
        <v>36876.83</v>
      </c>
      <c r="BU30">
        <v>30150.46</v>
      </c>
      <c r="BV30">
        <v>31900.99</v>
      </c>
      <c r="BW30">
        <v>5539.39</v>
      </c>
      <c r="BX30">
        <v>3477.85</v>
      </c>
      <c r="BY30">
        <v>33406.629999999997</v>
      </c>
      <c r="BZ30">
        <v>2072.3200000000002</v>
      </c>
      <c r="CA30">
        <v>1153.43</v>
      </c>
      <c r="CB30">
        <v>13428.76</v>
      </c>
      <c r="CC30">
        <v>19330.86</v>
      </c>
      <c r="CD30">
        <v>40582.06</v>
      </c>
      <c r="CE30">
        <v>1527.06</v>
      </c>
      <c r="CF30">
        <v>6412.95</v>
      </c>
      <c r="CG30">
        <v>515.99</v>
      </c>
      <c r="CH30">
        <v>8640.1299999999992</v>
      </c>
      <c r="CI30">
        <v>4531.25</v>
      </c>
      <c r="CJ30">
        <v>1769.68</v>
      </c>
      <c r="CK30">
        <v>57393.05</v>
      </c>
      <c r="CL30">
        <v>4962.91</v>
      </c>
      <c r="CM30">
        <v>1112.0999999999999</v>
      </c>
      <c r="CN30">
        <v>6976.54</v>
      </c>
      <c r="CO30">
        <v>12481.5</v>
      </c>
      <c r="CP30">
        <v>1182.82</v>
      </c>
      <c r="CQ30">
        <v>20331.79</v>
      </c>
      <c r="CR30">
        <v>1006.02</v>
      </c>
      <c r="CS30">
        <v>2296.4499999999998</v>
      </c>
      <c r="CT30">
        <v>636.84</v>
      </c>
      <c r="CU30">
        <v>2006.04</v>
      </c>
      <c r="CV30">
        <v>14387.33</v>
      </c>
      <c r="CW30">
        <v>14543.97</v>
      </c>
      <c r="CX30">
        <v>925.67</v>
      </c>
      <c r="CY30">
        <v>12301.25</v>
      </c>
      <c r="CZ30">
        <v>5152.68</v>
      </c>
      <c r="DA30">
        <v>762.85</v>
      </c>
      <c r="DB30">
        <v>409.78</v>
      </c>
      <c r="DC30">
        <v>3295.4</v>
      </c>
      <c r="DD30">
        <v>35584.79</v>
      </c>
      <c r="DE30">
        <v>35505.040000000001</v>
      </c>
      <c r="DF30">
        <v>1251.0999999999999</v>
      </c>
      <c r="DG30">
        <v>25958.65</v>
      </c>
      <c r="DH30">
        <v>11559.98</v>
      </c>
      <c r="DI30">
        <v>2718.26</v>
      </c>
      <c r="DJ30">
        <v>8724.6299999999992</v>
      </c>
      <c r="DK30">
        <v>4976.3900000000003</v>
      </c>
      <c r="DL30">
        <v>4378.62</v>
      </c>
      <c r="DM30">
        <v>12530.17</v>
      </c>
      <c r="DN30">
        <v>21187.88</v>
      </c>
      <c r="DO30">
        <v>4057.38</v>
      </c>
      <c r="DP30">
        <v>3830.33</v>
      </c>
      <c r="DQ30">
        <v>7350.28</v>
      </c>
      <c r="DR30">
        <v>768.58</v>
      </c>
      <c r="DS30" s="6">
        <v>15491.66</v>
      </c>
      <c r="DT30">
        <v>1424.27</v>
      </c>
      <c r="DU30">
        <v>2335.6999999999998</v>
      </c>
      <c r="DV30">
        <v>31791.29</v>
      </c>
      <c r="DW30">
        <v>1066.48</v>
      </c>
      <c r="DX30">
        <v>4050.12</v>
      </c>
      <c r="DY30">
        <v>1603.17</v>
      </c>
      <c r="DZ30">
        <v>7334.77</v>
      </c>
      <c r="EA30">
        <v>32356.11</v>
      </c>
      <c r="EB30">
        <v>7183.07</v>
      </c>
      <c r="EC30">
        <v>20785.73</v>
      </c>
      <c r="ED30">
        <v>1204.55</v>
      </c>
      <c r="EE30">
        <v>17304.54</v>
      </c>
      <c r="EF30">
        <v>1058.81</v>
      </c>
      <c r="EG30">
        <v>1314.55</v>
      </c>
      <c r="EH30">
        <v>7210.81</v>
      </c>
      <c r="EI30">
        <v>9575.07</v>
      </c>
      <c r="EJ30">
        <v>8053.27</v>
      </c>
      <c r="EK30">
        <v>11838.29</v>
      </c>
      <c r="EL30">
        <v>30482.15</v>
      </c>
      <c r="EM30">
        <v>1028.3599999999999</v>
      </c>
      <c r="EN30">
        <v>1084.43</v>
      </c>
      <c r="EO30">
        <v>12433.23</v>
      </c>
      <c r="EP30">
        <v>43624.75</v>
      </c>
      <c r="EQ30">
        <v>6605.23</v>
      </c>
      <c r="ER30">
        <v>6368.99</v>
      </c>
      <c r="ES30">
        <v>33909.51</v>
      </c>
      <c r="ET30">
        <v>1915.78</v>
      </c>
      <c r="EU30">
        <v>8440.1200000000008</v>
      </c>
      <c r="EV30">
        <v>1015.88</v>
      </c>
      <c r="EW30">
        <v>3699.46</v>
      </c>
    </row>
    <row r="31" spans="1:153" x14ac:dyDescent="0.35">
      <c r="A31">
        <v>1999</v>
      </c>
      <c r="B31">
        <v>42399.09</v>
      </c>
      <c r="C31">
        <v>2853.66</v>
      </c>
      <c r="D31">
        <v>25390.77</v>
      </c>
      <c r="E31">
        <v>4438.97</v>
      </c>
      <c r="F31">
        <v>13165.24</v>
      </c>
      <c r="G31">
        <v>13606.24</v>
      </c>
      <c r="H31">
        <v>35212.28</v>
      </c>
      <c r="I31">
        <v>34938</v>
      </c>
      <c r="J31">
        <v>685.37</v>
      </c>
      <c r="K31">
        <v>32356.7</v>
      </c>
      <c r="L31">
        <v>1368.24</v>
      </c>
      <c r="M31">
        <v>1079.05</v>
      </c>
      <c r="N31">
        <v>1366.99</v>
      </c>
      <c r="O31">
        <v>7820.62</v>
      </c>
      <c r="P31">
        <v>18688.400000000001</v>
      </c>
      <c r="Q31" s="6">
        <v>33859.360000000001</v>
      </c>
      <c r="R31">
        <v>6404.16</v>
      </c>
      <c r="S31">
        <v>37537.089999999997</v>
      </c>
      <c r="T31">
        <v>3073.79</v>
      </c>
      <c r="U31">
        <v>8622.73</v>
      </c>
      <c r="V31">
        <v>22462.53</v>
      </c>
      <c r="W31">
        <v>3823.61</v>
      </c>
      <c r="X31">
        <v>9725.17</v>
      </c>
      <c r="Y31">
        <v>920.55</v>
      </c>
      <c r="Z31">
        <v>36496</v>
      </c>
      <c r="AA31">
        <v>42750.8</v>
      </c>
      <c r="AB31">
        <v>10849.79</v>
      </c>
      <c r="AC31">
        <v>3959.63</v>
      </c>
      <c r="AD31">
        <v>2358.27</v>
      </c>
      <c r="AE31">
        <v>2537.61</v>
      </c>
      <c r="AF31">
        <v>577.02</v>
      </c>
      <c r="AG31">
        <v>1545.46</v>
      </c>
      <c r="AH31">
        <v>6874.15</v>
      </c>
      <c r="AI31">
        <v>2742.64</v>
      </c>
      <c r="AJ31">
        <v>3340.03</v>
      </c>
      <c r="AK31">
        <v>9654.2199999999993</v>
      </c>
      <c r="AL31" s="6">
        <v>67981.679999999993</v>
      </c>
      <c r="AM31">
        <v>25254.69</v>
      </c>
      <c r="AN31">
        <v>34203.26</v>
      </c>
      <c r="AO31">
        <v>2502.64</v>
      </c>
      <c r="AP31">
        <v>8922.14</v>
      </c>
      <c r="AQ31">
        <v>33525.47</v>
      </c>
      <c r="AR31">
        <v>7454.46</v>
      </c>
      <c r="AS31">
        <v>7734.68</v>
      </c>
      <c r="AT31">
        <v>4987.6899999999996</v>
      </c>
      <c r="AU31" s="6">
        <v>4559.9399999999996</v>
      </c>
      <c r="AV31">
        <v>25101.75</v>
      </c>
      <c r="AW31">
        <v>524.52</v>
      </c>
      <c r="AX31">
        <v>31433.05</v>
      </c>
      <c r="AY31">
        <v>6028.75</v>
      </c>
      <c r="AZ31">
        <v>30564.77</v>
      </c>
      <c r="BA31">
        <v>7821.49</v>
      </c>
      <c r="BB31">
        <v>31109.62</v>
      </c>
      <c r="BC31">
        <v>2731.39</v>
      </c>
      <c r="BD31">
        <v>2440.14</v>
      </c>
      <c r="BE31">
        <v>2593.42</v>
      </c>
      <c r="BF31">
        <v>1603.58</v>
      </c>
      <c r="BG31">
        <v>6602.66</v>
      </c>
      <c r="BH31">
        <v>22682.57</v>
      </c>
      <c r="BI31">
        <v>7376.29</v>
      </c>
      <c r="BJ31">
        <v>4699.4399999999996</v>
      </c>
      <c r="BK31">
        <v>33348.660000000003</v>
      </c>
      <c r="BL31">
        <v>2937.23</v>
      </c>
      <c r="BM31">
        <v>1584.06</v>
      </c>
      <c r="BN31">
        <v>14379.78</v>
      </c>
      <c r="BO31">
        <v>4030.67</v>
      </c>
      <c r="BP31">
        <v>1921.87</v>
      </c>
      <c r="BQ31">
        <v>33680.019999999997</v>
      </c>
      <c r="BR31">
        <v>6988.88</v>
      </c>
      <c r="BS31">
        <v>5082.87</v>
      </c>
      <c r="BT31">
        <v>38356.39</v>
      </c>
      <c r="BU31">
        <v>31149.29</v>
      </c>
      <c r="BV31">
        <v>32726.09</v>
      </c>
      <c r="BW31">
        <v>5612.24</v>
      </c>
      <c r="BX31">
        <v>3615.94</v>
      </c>
      <c r="BY31">
        <v>33180.29</v>
      </c>
      <c r="BZ31">
        <v>2036.18</v>
      </c>
      <c r="CA31">
        <v>1264.04</v>
      </c>
      <c r="CB31">
        <v>14908.54</v>
      </c>
      <c r="CC31">
        <v>20841.669999999998</v>
      </c>
      <c r="CD31">
        <v>36943.31</v>
      </c>
      <c r="CE31">
        <v>1668.57</v>
      </c>
      <c r="CF31">
        <v>6889.71</v>
      </c>
      <c r="CG31">
        <v>585.86</v>
      </c>
      <c r="CH31">
        <v>8729.06</v>
      </c>
      <c r="CI31">
        <v>4400.57</v>
      </c>
      <c r="CJ31">
        <v>1840.57</v>
      </c>
      <c r="CK31">
        <v>64435.71</v>
      </c>
      <c r="CL31">
        <v>4680.87</v>
      </c>
      <c r="CM31">
        <v>1137.56</v>
      </c>
      <c r="CN31">
        <v>7078.54</v>
      </c>
      <c r="CO31">
        <v>12939.64</v>
      </c>
      <c r="CP31">
        <v>1186.71</v>
      </c>
      <c r="CQ31">
        <v>21443.62</v>
      </c>
      <c r="CR31">
        <v>1058.94</v>
      </c>
      <c r="CS31">
        <v>2395.9299999999998</v>
      </c>
      <c r="CT31">
        <v>612.74</v>
      </c>
      <c r="CU31">
        <v>2079.44</v>
      </c>
      <c r="CV31">
        <v>15948.81</v>
      </c>
      <c r="CW31">
        <v>14096.06</v>
      </c>
      <c r="CX31">
        <v>894.03</v>
      </c>
      <c r="CY31">
        <v>12831.6</v>
      </c>
      <c r="CZ31">
        <v>5210.9799999999996</v>
      </c>
      <c r="DA31">
        <v>740</v>
      </c>
      <c r="DB31">
        <v>510.14</v>
      </c>
      <c r="DC31">
        <v>3348.93</v>
      </c>
      <c r="DD31">
        <v>37786.17</v>
      </c>
      <c r="DE31">
        <v>37644.959999999999</v>
      </c>
      <c r="DF31">
        <v>1249.82</v>
      </c>
      <c r="DG31">
        <v>27407.73</v>
      </c>
      <c r="DH31">
        <v>13500.89</v>
      </c>
      <c r="DI31">
        <v>2710.69</v>
      </c>
      <c r="DJ31">
        <v>8885.51</v>
      </c>
      <c r="DK31">
        <v>4911.7700000000004</v>
      </c>
      <c r="DL31">
        <v>4311.24</v>
      </c>
      <c r="DM31">
        <v>13114.07</v>
      </c>
      <c r="DN31">
        <v>22412.99</v>
      </c>
      <c r="DO31">
        <v>3860.93</v>
      </c>
      <c r="DP31">
        <v>3970.7</v>
      </c>
      <c r="DQ31">
        <v>7441.07</v>
      </c>
      <c r="DR31">
        <v>731.11</v>
      </c>
      <c r="DS31" s="6">
        <v>17090.5</v>
      </c>
      <c r="DT31">
        <v>1654.09</v>
      </c>
      <c r="DU31">
        <v>2487.71</v>
      </c>
      <c r="DV31">
        <v>33958.629999999997</v>
      </c>
      <c r="DW31">
        <v>769.31</v>
      </c>
      <c r="DX31">
        <v>4196</v>
      </c>
      <c r="DY31">
        <v>1564.14</v>
      </c>
      <c r="DZ31">
        <v>6214.47</v>
      </c>
      <c r="EA31">
        <v>34468.019999999997</v>
      </c>
      <c r="EB31">
        <v>6864.11</v>
      </c>
      <c r="EC31">
        <v>20975.58</v>
      </c>
      <c r="ED31">
        <v>1262.98</v>
      </c>
      <c r="EE31">
        <v>18009.080000000002</v>
      </c>
      <c r="EF31">
        <v>1046.69</v>
      </c>
      <c r="EG31">
        <v>1387.03</v>
      </c>
      <c r="EH31">
        <v>7221.82</v>
      </c>
      <c r="EI31">
        <v>11002.92</v>
      </c>
      <c r="EJ31">
        <v>8041.53</v>
      </c>
      <c r="EK31">
        <v>11175.75</v>
      </c>
      <c r="EL31">
        <v>31556.51</v>
      </c>
      <c r="EM31">
        <v>1072.2</v>
      </c>
      <c r="EN31">
        <v>1098.77</v>
      </c>
      <c r="EO31">
        <v>11724.95</v>
      </c>
      <c r="EP31">
        <v>45179.55</v>
      </c>
      <c r="EQ31">
        <v>6879.48</v>
      </c>
      <c r="ER31">
        <v>6263.48</v>
      </c>
      <c r="ES31">
        <v>36378.83</v>
      </c>
      <c r="ET31">
        <v>1992.58</v>
      </c>
      <c r="EU31">
        <v>8503.0499999999993</v>
      </c>
      <c r="EV31">
        <v>1018.08</v>
      </c>
      <c r="EW31">
        <v>3266.71</v>
      </c>
    </row>
    <row r="32" spans="1:153" x14ac:dyDescent="0.35">
      <c r="A32">
        <v>2000</v>
      </c>
      <c r="B32">
        <v>44036.39</v>
      </c>
      <c r="C32">
        <v>2274.1799999999998</v>
      </c>
      <c r="D32">
        <v>24809.16</v>
      </c>
      <c r="E32">
        <v>4477.57</v>
      </c>
      <c r="F32">
        <v>12869.53</v>
      </c>
      <c r="G32">
        <v>14224.29</v>
      </c>
      <c r="H32">
        <v>35356.370000000003</v>
      </c>
      <c r="I32">
        <v>36020.199999999997</v>
      </c>
      <c r="J32">
        <v>626.16999999999996</v>
      </c>
      <c r="K32">
        <v>34262.01</v>
      </c>
      <c r="L32">
        <v>1472.9</v>
      </c>
      <c r="M32">
        <v>1061.94</v>
      </c>
      <c r="N32">
        <v>1354.45</v>
      </c>
      <c r="O32">
        <v>8428.56</v>
      </c>
      <c r="P32">
        <v>23983.25</v>
      </c>
      <c r="Q32" s="6">
        <v>34784.239999999998</v>
      </c>
      <c r="R32">
        <v>6785.03</v>
      </c>
      <c r="S32">
        <v>39330.559999999998</v>
      </c>
      <c r="T32">
        <v>3091.47</v>
      </c>
      <c r="U32">
        <v>8617.32</v>
      </c>
      <c r="V32">
        <v>22624.79</v>
      </c>
      <c r="W32">
        <v>4181.09</v>
      </c>
      <c r="X32">
        <v>10254.15</v>
      </c>
      <c r="Y32">
        <v>927.63</v>
      </c>
      <c r="Z32">
        <v>38225.370000000003</v>
      </c>
      <c r="AA32">
        <v>43496.05</v>
      </c>
      <c r="AB32">
        <v>11011.34</v>
      </c>
      <c r="AC32">
        <v>4219.04</v>
      </c>
      <c r="AD32">
        <v>2233.8000000000002</v>
      </c>
      <c r="AE32">
        <v>2553.35</v>
      </c>
      <c r="AF32">
        <v>510.85</v>
      </c>
      <c r="AG32">
        <v>2372.35</v>
      </c>
      <c r="AH32">
        <v>7011.34</v>
      </c>
      <c r="AI32">
        <v>2620</v>
      </c>
      <c r="AJ32">
        <v>3334.06</v>
      </c>
      <c r="AK32">
        <v>9677.7800000000007</v>
      </c>
      <c r="AL32" s="6">
        <v>65551.759999999995</v>
      </c>
      <c r="AM32">
        <v>26746.93</v>
      </c>
      <c r="AN32">
        <v>34435.97</v>
      </c>
      <c r="AO32">
        <v>2453.21</v>
      </c>
      <c r="AP32">
        <v>8634.49</v>
      </c>
      <c r="AQ32">
        <v>34924.75</v>
      </c>
      <c r="AR32">
        <v>7686.41</v>
      </c>
      <c r="AS32">
        <v>9464.82</v>
      </c>
      <c r="AT32">
        <v>5205.01</v>
      </c>
      <c r="AU32" s="6">
        <v>4689.53</v>
      </c>
      <c r="AV32">
        <v>26139.87</v>
      </c>
      <c r="AW32">
        <v>513.76</v>
      </c>
      <c r="AX32">
        <v>32875.83</v>
      </c>
      <c r="AY32">
        <v>5806.24</v>
      </c>
      <c r="AZ32">
        <v>31971.75</v>
      </c>
      <c r="BA32">
        <v>9791.2800000000007</v>
      </c>
      <c r="BB32">
        <v>32722.47</v>
      </c>
      <c r="BC32">
        <v>3034.56</v>
      </c>
      <c r="BD32">
        <v>2246.6999999999998</v>
      </c>
      <c r="BE32">
        <v>2682.2</v>
      </c>
      <c r="BF32">
        <v>1537.57</v>
      </c>
      <c r="BG32">
        <v>9747.76</v>
      </c>
      <c r="BH32">
        <v>23127.7</v>
      </c>
      <c r="BI32">
        <v>7588.42</v>
      </c>
      <c r="BJ32">
        <v>4812.04</v>
      </c>
      <c r="BK32">
        <v>35735.51</v>
      </c>
      <c r="BL32">
        <v>3059.78</v>
      </c>
      <c r="BM32">
        <v>1798.13</v>
      </c>
      <c r="BN32">
        <v>15165.8</v>
      </c>
      <c r="BO32">
        <v>3825.91</v>
      </c>
      <c r="BP32">
        <v>1988.44</v>
      </c>
      <c r="BQ32">
        <v>36225.1</v>
      </c>
      <c r="BR32">
        <v>7614.95</v>
      </c>
      <c r="BS32">
        <v>5033.0200000000004</v>
      </c>
      <c r="BT32">
        <v>38036.620000000003</v>
      </c>
      <c r="BU32">
        <v>33314.239999999998</v>
      </c>
      <c r="BV32">
        <v>33412.1</v>
      </c>
      <c r="BW32">
        <v>5683.11</v>
      </c>
      <c r="BX32">
        <v>3703.52</v>
      </c>
      <c r="BY32">
        <v>33908.82</v>
      </c>
      <c r="BZ32">
        <v>1936.54</v>
      </c>
      <c r="CA32">
        <v>1321.89</v>
      </c>
      <c r="CB32">
        <v>14612.11</v>
      </c>
      <c r="CC32">
        <v>21919.01</v>
      </c>
      <c r="CD32">
        <v>36658.18</v>
      </c>
      <c r="CE32">
        <v>1630.8</v>
      </c>
      <c r="CF32">
        <v>7296.81</v>
      </c>
      <c r="CG32">
        <v>871.39</v>
      </c>
      <c r="CH32">
        <v>8229.3799999999992</v>
      </c>
      <c r="CI32">
        <v>4425.45</v>
      </c>
      <c r="CJ32">
        <v>1918.07</v>
      </c>
      <c r="CK32">
        <v>68055.7</v>
      </c>
      <c r="CL32">
        <v>4394.53</v>
      </c>
      <c r="CM32">
        <v>1171.04</v>
      </c>
      <c r="CN32">
        <v>7719.72</v>
      </c>
      <c r="CO32">
        <v>13308.79</v>
      </c>
      <c r="CP32">
        <v>1126.33</v>
      </c>
      <c r="CQ32">
        <v>22526</v>
      </c>
      <c r="CR32">
        <v>1131.76</v>
      </c>
      <c r="CS32">
        <v>2735.53</v>
      </c>
      <c r="CT32">
        <v>651.35</v>
      </c>
      <c r="CU32">
        <v>2021.73</v>
      </c>
      <c r="CV32">
        <v>16565.490000000002</v>
      </c>
      <c r="CW32">
        <v>14390.53</v>
      </c>
      <c r="CX32">
        <v>859.16</v>
      </c>
      <c r="CY32">
        <v>13492.58</v>
      </c>
      <c r="CZ32">
        <v>5383.1</v>
      </c>
      <c r="DA32">
        <v>690.33</v>
      </c>
      <c r="DB32">
        <v>764.37</v>
      </c>
      <c r="DC32">
        <v>3412.25</v>
      </c>
      <c r="DD32">
        <v>39967.78</v>
      </c>
      <c r="DE32">
        <v>42875.83</v>
      </c>
      <c r="DF32">
        <v>1263.51</v>
      </c>
      <c r="DG32">
        <v>27467.39</v>
      </c>
      <c r="DH32">
        <v>16173.21</v>
      </c>
      <c r="DI32">
        <v>2723.3</v>
      </c>
      <c r="DJ32">
        <v>9042.5400000000009</v>
      </c>
      <c r="DK32">
        <v>4982.6000000000004</v>
      </c>
      <c r="DL32">
        <v>4295.42</v>
      </c>
      <c r="DM32">
        <v>13403.11</v>
      </c>
      <c r="DN32">
        <v>23059.94</v>
      </c>
      <c r="DO32">
        <v>3577.88</v>
      </c>
      <c r="DP32">
        <v>3708.19</v>
      </c>
      <c r="DQ32">
        <v>7566.21</v>
      </c>
      <c r="DR32">
        <v>772.59</v>
      </c>
      <c r="DS32" s="6">
        <v>19753.099999999999</v>
      </c>
      <c r="DT32">
        <v>1806.25</v>
      </c>
      <c r="DU32">
        <v>2378.42</v>
      </c>
      <c r="DV32">
        <v>39913.15</v>
      </c>
      <c r="DW32">
        <v>871.48</v>
      </c>
      <c r="DX32">
        <v>4292.97</v>
      </c>
      <c r="DY32">
        <v>1638.51</v>
      </c>
      <c r="DZ32">
        <v>7021.58</v>
      </c>
      <c r="EA32">
        <v>36169.4</v>
      </c>
      <c r="EB32">
        <v>7263.76</v>
      </c>
      <c r="EC32">
        <v>21612.82</v>
      </c>
      <c r="ED32">
        <v>1526.13</v>
      </c>
      <c r="EE32">
        <v>18023.78</v>
      </c>
      <c r="EF32">
        <v>973.53</v>
      </c>
      <c r="EG32">
        <v>1289.57</v>
      </c>
      <c r="EH32">
        <v>7353.85</v>
      </c>
      <c r="EI32">
        <v>13134.31</v>
      </c>
      <c r="EJ32">
        <v>8067.4</v>
      </c>
      <c r="EK32">
        <v>11687.04</v>
      </c>
      <c r="EL32">
        <v>32857.410000000003</v>
      </c>
      <c r="EM32">
        <v>1113.77</v>
      </c>
      <c r="EN32">
        <v>1112.3499999999999</v>
      </c>
      <c r="EO32">
        <v>11069.72</v>
      </c>
      <c r="EP32">
        <v>46461.14</v>
      </c>
      <c r="EQ32">
        <v>7194.84</v>
      </c>
      <c r="ER32">
        <v>7101.96</v>
      </c>
      <c r="ES32">
        <v>38882.01</v>
      </c>
      <c r="ET32">
        <v>2070.29</v>
      </c>
      <c r="EU32">
        <v>8797.81</v>
      </c>
      <c r="EV32">
        <v>1188.8800000000001</v>
      </c>
      <c r="EW32">
        <v>2917.61</v>
      </c>
    </row>
    <row r="33" spans="1:153" x14ac:dyDescent="0.35">
      <c r="A33">
        <v>2001</v>
      </c>
      <c r="B33">
        <v>42353.94</v>
      </c>
      <c r="C33">
        <v>2197.3000000000002</v>
      </c>
      <c r="D33">
        <v>23988.26</v>
      </c>
      <c r="E33">
        <v>4688.28</v>
      </c>
      <c r="F33">
        <v>11870.5</v>
      </c>
      <c r="G33">
        <v>13925.15</v>
      </c>
      <c r="H33">
        <v>36249.51</v>
      </c>
      <c r="I33">
        <v>35188.14</v>
      </c>
      <c r="J33">
        <v>615.01</v>
      </c>
      <c r="K33">
        <v>34275.019999999997</v>
      </c>
      <c r="L33">
        <v>1524.8</v>
      </c>
      <c r="M33">
        <v>1098.17</v>
      </c>
      <c r="N33">
        <v>1362.06</v>
      </c>
      <c r="O33">
        <v>8595.34</v>
      </c>
      <c r="P33">
        <v>24767.93</v>
      </c>
      <c r="Q33" s="6">
        <v>33826.1</v>
      </c>
      <c r="R33">
        <v>7027.24</v>
      </c>
      <c r="S33">
        <v>43135.75</v>
      </c>
      <c r="T33">
        <v>3137.63</v>
      </c>
      <c r="U33">
        <v>8447.6</v>
      </c>
      <c r="V33">
        <v>20891.39</v>
      </c>
      <c r="W33">
        <v>4326.04</v>
      </c>
      <c r="X33">
        <v>9987.48</v>
      </c>
      <c r="Y33">
        <v>923.2</v>
      </c>
      <c r="Z33">
        <v>37724.1</v>
      </c>
      <c r="AA33">
        <v>43133.95</v>
      </c>
      <c r="AB33">
        <v>10844.56</v>
      </c>
      <c r="AC33">
        <v>4527.46</v>
      </c>
      <c r="AD33">
        <v>2211.3200000000002</v>
      </c>
      <c r="AE33">
        <v>2505.16</v>
      </c>
      <c r="AF33">
        <v>492.15</v>
      </c>
      <c r="AG33">
        <v>2150.79</v>
      </c>
      <c r="AH33">
        <v>6872.36</v>
      </c>
      <c r="AI33">
        <v>2845.15</v>
      </c>
      <c r="AJ33">
        <v>3437.91</v>
      </c>
      <c r="AK33">
        <v>9884.9599999999991</v>
      </c>
      <c r="AL33" s="6">
        <v>63443.94</v>
      </c>
      <c r="AM33">
        <v>27637.58</v>
      </c>
      <c r="AN33">
        <v>34786.81</v>
      </c>
      <c r="AO33">
        <v>2464.37</v>
      </c>
      <c r="AP33">
        <v>8263.7900000000009</v>
      </c>
      <c r="AQ33">
        <v>34667.699999999997</v>
      </c>
      <c r="AR33">
        <v>7873.87</v>
      </c>
      <c r="AS33">
        <v>9000.4</v>
      </c>
      <c r="AT33">
        <v>5274.67</v>
      </c>
      <c r="AU33" s="6">
        <v>4824.62</v>
      </c>
      <c r="AV33">
        <v>26725.49</v>
      </c>
      <c r="AW33">
        <v>554.87</v>
      </c>
      <c r="AX33">
        <v>32954.339999999997</v>
      </c>
      <c r="AY33">
        <v>5807.37</v>
      </c>
      <c r="AZ33">
        <v>32729.45</v>
      </c>
      <c r="BA33">
        <v>9413.1200000000008</v>
      </c>
      <c r="BB33">
        <v>33247.64</v>
      </c>
      <c r="BC33">
        <v>2763.52</v>
      </c>
      <c r="BD33">
        <v>2059.5500000000002</v>
      </c>
      <c r="BE33">
        <v>2666.04</v>
      </c>
      <c r="BF33">
        <v>1520.59</v>
      </c>
      <c r="BG33">
        <v>13277.59</v>
      </c>
      <c r="BH33">
        <v>24048.29</v>
      </c>
      <c r="BI33">
        <v>7625.2</v>
      </c>
      <c r="BJ33">
        <v>4902.6099999999997</v>
      </c>
      <c r="BK33">
        <v>36182.410000000003</v>
      </c>
      <c r="BL33">
        <v>3076.03</v>
      </c>
      <c r="BM33">
        <v>1691.78</v>
      </c>
      <c r="BN33">
        <v>16448.37</v>
      </c>
      <c r="BO33">
        <v>3850.32</v>
      </c>
      <c r="BP33">
        <v>2062.5500000000002</v>
      </c>
      <c r="BQ33">
        <v>37596.980000000003</v>
      </c>
      <c r="BR33">
        <v>8431.0300000000007</v>
      </c>
      <c r="BS33">
        <v>5009.8900000000003</v>
      </c>
      <c r="BT33">
        <v>38755.089999999997</v>
      </c>
      <c r="BU33">
        <v>33106.129999999997</v>
      </c>
      <c r="BV33">
        <v>33253.96</v>
      </c>
      <c r="BW33">
        <v>5809.41</v>
      </c>
      <c r="BX33">
        <v>3910.33</v>
      </c>
      <c r="BY33">
        <v>33953.089999999997</v>
      </c>
      <c r="BZ33">
        <v>1898.77</v>
      </c>
      <c r="CA33">
        <v>1398.87</v>
      </c>
      <c r="CB33">
        <v>13454.26</v>
      </c>
      <c r="CC33">
        <v>22568.9</v>
      </c>
      <c r="CD33">
        <v>32819.839999999997</v>
      </c>
      <c r="CE33">
        <v>1943.59</v>
      </c>
      <c r="CF33">
        <v>7910.41</v>
      </c>
      <c r="CG33">
        <v>797.27</v>
      </c>
      <c r="CH33">
        <v>7462.92</v>
      </c>
      <c r="CI33">
        <v>4414.71</v>
      </c>
      <c r="CJ33">
        <v>2056.21</v>
      </c>
      <c r="CK33">
        <v>66053.820000000007</v>
      </c>
      <c r="CL33">
        <v>4457.3100000000004</v>
      </c>
      <c r="CM33">
        <v>1226.8699999999999</v>
      </c>
      <c r="CN33">
        <v>7821.55</v>
      </c>
      <c r="CO33">
        <v>13128.88</v>
      </c>
      <c r="CP33">
        <v>1247.3599999999999</v>
      </c>
      <c r="CQ33">
        <v>22044.31</v>
      </c>
      <c r="CR33">
        <v>1210.17</v>
      </c>
      <c r="CS33">
        <v>2999.55</v>
      </c>
      <c r="CT33">
        <v>692.57</v>
      </c>
      <c r="CU33">
        <v>1990.3</v>
      </c>
      <c r="CV33">
        <v>17871.27</v>
      </c>
      <c r="CW33">
        <v>14066.59</v>
      </c>
      <c r="CX33">
        <v>775.14</v>
      </c>
      <c r="CY33">
        <v>12988.6</v>
      </c>
      <c r="CZ33">
        <v>5493.92</v>
      </c>
      <c r="DA33">
        <v>721.24</v>
      </c>
      <c r="DB33">
        <v>919.86</v>
      </c>
      <c r="DC33">
        <v>3450.06</v>
      </c>
      <c r="DD33">
        <v>40264.49</v>
      </c>
      <c r="DE33">
        <v>42239.54</v>
      </c>
      <c r="DF33">
        <v>1309.27</v>
      </c>
      <c r="DG33">
        <v>28002.71</v>
      </c>
      <c r="DH33">
        <v>16853.11</v>
      </c>
      <c r="DI33">
        <v>2691.64</v>
      </c>
      <c r="DJ33">
        <v>9189.19</v>
      </c>
      <c r="DK33">
        <v>4940.47</v>
      </c>
      <c r="DL33">
        <v>4130.18</v>
      </c>
      <c r="DM33">
        <v>13676.21</v>
      </c>
      <c r="DN33">
        <v>23123.75</v>
      </c>
      <c r="DO33">
        <v>3648.41</v>
      </c>
      <c r="DP33">
        <v>3234.12</v>
      </c>
      <c r="DQ33">
        <v>8121.23</v>
      </c>
      <c r="DR33">
        <v>797.41</v>
      </c>
      <c r="DS33" s="6">
        <v>18371.23</v>
      </c>
      <c r="DT33">
        <v>1771.62</v>
      </c>
      <c r="DU33">
        <v>2421.5700000000002</v>
      </c>
      <c r="DV33">
        <v>38750.050000000003</v>
      </c>
      <c r="DW33">
        <v>939.36</v>
      </c>
      <c r="DX33">
        <v>4485.95</v>
      </c>
      <c r="DY33">
        <v>1974.73</v>
      </c>
      <c r="DZ33">
        <v>7356.78</v>
      </c>
      <c r="EA33">
        <v>35503.83</v>
      </c>
      <c r="EB33">
        <v>7010.13</v>
      </c>
      <c r="EC33">
        <v>19715.46</v>
      </c>
      <c r="ED33">
        <v>1721.09</v>
      </c>
      <c r="EE33">
        <v>17876.43</v>
      </c>
      <c r="EF33">
        <v>973.72</v>
      </c>
      <c r="EG33">
        <v>1260.3800000000001</v>
      </c>
      <c r="EH33">
        <v>7408.6</v>
      </c>
      <c r="EI33">
        <v>12498.51</v>
      </c>
      <c r="EJ33">
        <v>8175.49</v>
      </c>
      <c r="EK33">
        <v>11280.16</v>
      </c>
      <c r="EL33">
        <v>32080.84</v>
      </c>
      <c r="EM33">
        <v>1172.8399999999999</v>
      </c>
      <c r="EN33">
        <v>1151.0899999999999</v>
      </c>
      <c r="EO33">
        <v>10499.88</v>
      </c>
      <c r="EP33">
        <v>46469.59</v>
      </c>
      <c r="EQ33">
        <v>7201.51</v>
      </c>
      <c r="ER33">
        <v>6992.07</v>
      </c>
      <c r="ES33">
        <v>40046.980000000003</v>
      </c>
      <c r="ET33">
        <v>2178.63</v>
      </c>
      <c r="EU33">
        <v>8996.65</v>
      </c>
      <c r="EV33">
        <v>1222.8499999999999</v>
      </c>
      <c r="EW33">
        <v>2688.85</v>
      </c>
    </row>
    <row r="34" spans="1:153" x14ac:dyDescent="0.35">
      <c r="A34">
        <v>2002</v>
      </c>
      <c r="B34">
        <v>40872.42</v>
      </c>
      <c r="C34">
        <v>2412.46</v>
      </c>
      <c r="D34">
        <v>21433.43</v>
      </c>
      <c r="E34">
        <v>4845.34</v>
      </c>
      <c r="F34">
        <v>10878.52</v>
      </c>
      <c r="G34">
        <v>14306.23</v>
      </c>
      <c r="H34">
        <v>36884.589999999997</v>
      </c>
      <c r="I34">
        <v>35578.019999999997</v>
      </c>
      <c r="J34">
        <v>616.13</v>
      </c>
      <c r="K34">
        <v>34714.93</v>
      </c>
      <c r="L34">
        <v>1631.61</v>
      </c>
      <c r="M34">
        <v>1119.8900000000001</v>
      </c>
      <c r="N34">
        <v>1393.59</v>
      </c>
      <c r="O34">
        <v>9158.64</v>
      </c>
      <c r="P34">
        <v>23810.42</v>
      </c>
      <c r="Q34" s="6">
        <v>36418.39</v>
      </c>
      <c r="R34">
        <v>7269.99</v>
      </c>
      <c r="S34">
        <v>43793.73</v>
      </c>
      <c r="T34">
        <v>3208</v>
      </c>
      <c r="U34">
        <v>8465.7000000000007</v>
      </c>
      <c r="V34">
        <v>20166.580000000002</v>
      </c>
      <c r="W34">
        <v>4751.91</v>
      </c>
      <c r="X34">
        <v>10264.98</v>
      </c>
      <c r="Y34">
        <v>901.62</v>
      </c>
      <c r="Z34">
        <v>37529.4</v>
      </c>
      <c r="AA34">
        <v>42438.78</v>
      </c>
      <c r="AB34">
        <v>10844.09</v>
      </c>
      <c r="AC34">
        <v>4897.17</v>
      </c>
      <c r="AD34">
        <v>2194.69</v>
      </c>
      <c r="AE34">
        <v>2520.7600000000002</v>
      </c>
      <c r="AF34">
        <v>498.52</v>
      </c>
      <c r="AG34">
        <v>2226.5500000000002</v>
      </c>
      <c r="AH34">
        <v>6897.4</v>
      </c>
      <c r="AI34">
        <v>2927.37</v>
      </c>
      <c r="AJ34">
        <v>3559.13</v>
      </c>
      <c r="AK34">
        <v>9941.52</v>
      </c>
      <c r="AL34" s="6">
        <v>62488.97</v>
      </c>
      <c r="AM34">
        <v>27597.57</v>
      </c>
      <c r="AN34">
        <v>34518.269999999997</v>
      </c>
      <c r="AO34">
        <v>2344.4699999999998</v>
      </c>
      <c r="AP34">
        <v>8305.4699999999993</v>
      </c>
      <c r="AQ34">
        <v>34713.35</v>
      </c>
      <c r="AR34">
        <v>8175.69</v>
      </c>
      <c r="AS34">
        <v>9036.02</v>
      </c>
      <c r="AT34">
        <v>5695.16</v>
      </c>
      <c r="AU34" s="6">
        <v>4870.1499999999996</v>
      </c>
      <c r="AV34">
        <v>27417.34</v>
      </c>
      <c r="AW34">
        <v>490.15</v>
      </c>
      <c r="AX34">
        <v>32569.81</v>
      </c>
      <c r="AY34">
        <v>5895.78</v>
      </c>
      <c r="AZ34">
        <v>32763.17</v>
      </c>
      <c r="BA34">
        <v>9453.35</v>
      </c>
      <c r="BB34">
        <v>33643.07</v>
      </c>
      <c r="BC34">
        <v>2763.29</v>
      </c>
      <c r="BD34">
        <v>1918.63</v>
      </c>
      <c r="BE34">
        <v>2387.7800000000002</v>
      </c>
      <c r="BF34">
        <v>1463.39</v>
      </c>
      <c r="BG34">
        <v>11230.4</v>
      </c>
      <c r="BH34">
        <v>25163.61</v>
      </c>
      <c r="BI34">
        <v>7940.79</v>
      </c>
      <c r="BJ34">
        <v>5030.9799999999996</v>
      </c>
      <c r="BK34">
        <v>37648.839999999997</v>
      </c>
      <c r="BL34">
        <v>3114.58</v>
      </c>
      <c r="BM34">
        <v>1645.69</v>
      </c>
      <c r="BN34">
        <v>17410.71</v>
      </c>
      <c r="BO34">
        <v>3769.72</v>
      </c>
      <c r="BP34">
        <v>2143.91</v>
      </c>
      <c r="BQ34">
        <v>39118.39</v>
      </c>
      <c r="BR34">
        <v>9621.4500000000007</v>
      </c>
      <c r="BS34">
        <v>4541.79</v>
      </c>
      <c r="BT34">
        <v>37732.26</v>
      </c>
      <c r="BU34">
        <v>32703.040000000001</v>
      </c>
      <c r="BV34">
        <v>32722.49</v>
      </c>
      <c r="BW34">
        <v>5932</v>
      </c>
      <c r="BX34">
        <v>4175.34</v>
      </c>
      <c r="BY34">
        <v>33793.64</v>
      </c>
      <c r="BZ34">
        <v>1853.08</v>
      </c>
      <c r="CA34">
        <v>1513.8</v>
      </c>
      <c r="CB34">
        <v>14910.98</v>
      </c>
      <c r="CC34">
        <v>24270.61</v>
      </c>
      <c r="CD34">
        <v>34726.32</v>
      </c>
      <c r="CE34">
        <v>2127.2600000000002</v>
      </c>
      <c r="CF34">
        <v>9037.9599999999991</v>
      </c>
      <c r="CG34">
        <v>813.1</v>
      </c>
      <c r="CH34">
        <v>7903.98</v>
      </c>
      <c r="CI34">
        <v>4613.3</v>
      </c>
      <c r="CJ34">
        <v>2049.41</v>
      </c>
      <c r="CK34">
        <v>66451.97</v>
      </c>
      <c r="CL34">
        <v>4396.58</v>
      </c>
      <c r="CM34">
        <v>1097.17</v>
      </c>
      <c r="CN34">
        <v>8167.53</v>
      </c>
      <c r="CO34">
        <v>12897.24</v>
      </c>
      <c r="CP34">
        <v>1293.83</v>
      </c>
      <c r="CQ34">
        <v>22756.73</v>
      </c>
      <c r="CR34">
        <v>1299.97</v>
      </c>
      <c r="CS34">
        <v>3262.09</v>
      </c>
      <c r="CT34">
        <v>776.4</v>
      </c>
      <c r="CU34">
        <v>2094.6999999999998</v>
      </c>
      <c r="CV34">
        <v>19169.18</v>
      </c>
      <c r="CW34">
        <v>14212.08</v>
      </c>
      <c r="CX34">
        <v>892.47</v>
      </c>
      <c r="CY34">
        <v>13532.5</v>
      </c>
      <c r="CZ34">
        <v>5698.14</v>
      </c>
      <c r="DA34">
        <v>730.48</v>
      </c>
      <c r="DB34">
        <v>1114.97</v>
      </c>
      <c r="DC34">
        <v>3428.66</v>
      </c>
      <c r="DD34">
        <v>40213.72</v>
      </c>
      <c r="DE34">
        <v>41098.06</v>
      </c>
      <c r="DF34">
        <v>1258.67</v>
      </c>
      <c r="DG34">
        <v>28369.67</v>
      </c>
      <c r="DH34">
        <v>18508.34</v>
      </c>
      <c r="DI34">
        <v>2759.37</v>
      </c>
      <c r="DJ34">
        <v>9475.99</v>
      </c>
      <c r="DK34">
        <v>5215.38</v>
      </c>
      <c r="DL34">
        <v>4065.52</v>
      </c>
      <c r="DM34">
        <v>14074.57</v>
      </c>
      <c r="DN34">
        <v>23296.65</v>
      </c>
      <c r="DO34">
        <v>4621.7299999999996</v>
      </c>
      <c r="DP34">
        <v>2838.06</v>
      </c>
      <c r="DQ34">
        <v>8540.9500000000007</v>
      </c>
      <c r="DR34">
        <v>876.7</v>
      </c>
      <c r="DS34" s="6">
        <v>19717.259999999998</v>
      </c>
      <c r="DT34">
        <v>1783.38</v>
      </c>
      <c r="DU34">
        <v>2348.19</v>
      </c>
      <c r="DV34">
        <v>40809.519999999997</v>
      </c>
      <c r="DW34">
        <v>1047.03</v>
      </c>
      <c r="DX34">
        <v>4645.34</v>
      </c>
      <c r="DY34">
        <v>1994.93</v>
      </c>
      <c r="DZ34">
        <v>7696.42</v>
      </c>
      <c r="EA34">
        <v>35106.89</v>
      </c>
      <c r="EB34">
        <v>6861.12</v>
      </c>
      <c r="EC34">
        <v>21003.599999999999</v>
      </c>
      <c r="ED34">
        <v>2113.5</v>
      </c>
      <c r="EE34">
        <v>19216.43</v>
      </c>
      <c r="EF34">
        <v>724.45</v>
      </c>
      <c r="EG34">
        <v>1281.8499999999999</v>
      </c>
      <c r="EH34">
        <v>7923.55</v>
      </c>
      <c r="EI34">
        <v>12973.78</v>
      </c>
      <c r="EJ34">
        <v>8112.95</v>
      </c>
      <c r="EK34">
        <v>11041.55</v>
      </c>
      <c r="EL34">
        <v>33465.230000000003</v>
      </c>
      <c r="EM34">
        <v>1261.51</v>
      </c>
      <c r="EN34">
        <v>1177.01</v>
      </c>
      <c r="EO34">
        <v>9571.7800000000007</v>
      </c>
      <c r="EP34">
        <v>46827.62</v>
      </c>
      <c r="EQ34">
        <v>7590.74</v>
      </c>
      <c r="ER34">
        <v>6651.38</v>
      </c>
      <c r="ES34">
        <v>37003.5</v>
      </c>
      <c r="ET34">
        <v>2300.0100000000002</v>
      </c>
      <c r="EU34">
        <v>9257.06</v>
      </c>
      <c r="EV34">
        <v>1261.08</v>
      </c>
      <c r="EW34">
        <v>2022.64</v>
      </c>
    </row>
    <row r="35" spans="1:153" x14ac:dyDescent="0.35">
      <c r="A35">
        <v>2003</v>
      </c>
      <c r="B35">
        <v>40485.199999999997</v>
      </c>
      <c r="C35">
        <v>2434.2199999999998</v>
      </c>
      <c r="D35">
        <v>22238.33</v>
      </c>
      <c r="E35">
        <v>5168.05</v>
      </c>
      <c r="F35">
        <v>11338.57</v>
      </c>
      <c r="G35">
        <v>14681.35</v>
      </c>
      <c r="H35">
        <v>38239.29</v>
      </c>
      <c r="I35">
        <v>36019.160000000003</v>
      </c>
      <c r="J35">
        <v>617.82000000000005</v>
      </c>
      <c r="K35">
        <v>34559.199999999997</v>
      </c>
      <c r="L35">
        <v>1701.38</v>
      </c>
      <c r="M35">
        <v>1173.83</v>
      </c>
      <c r="N35">
        <v>1411.87</v>
      </c>
      <c r="O35">
        <v>9533.77</v>
      </c>
      <c r="P35">
        <v>27430.45</v>
      </c>
      <c r="Q35" s="6">
        <v>34853.85</v>
      </c>
      <c r="R35">
        <v>7480.64</v>
      </c>
      <c r="S35">
        <v>46376.03</v>
      </c>
      <c r="T35">
        <v>3367.27</v>
      </c>
      <c r="U35">
        <v>8358.2000000000007</v>
      </c>
      <c r="V35">
        <v>19942.939999999999</v>
      </c>
      <c r="W35">
        <v>4891.92</v>
      </c>
      <c r="X35">
        <v>10497.83</v>
      </c>
      <c r="Y35">
        <v>837.16</v>
      </c>
      <c r="Z35">
        <v>38396.980000000003</v>
      </c>
      <c r="AA35">
        <v>42027.93</v>
      </c>
      <c r="AB35">
        <v>11187.76</v>
      </c>
      <c r="AC35">
        <v>5127.9399999999996</v>
      </c>
      <c r="AD35">
        <v>2325.37</v>
      </c>
      <c r="AE35">
        <v>2605.88</v>
      </c>
      <c r="AF35">
        <v>520.70000000000005</v>
      </c>
      <c r="AG35">
        <v>2202.64</v>
      </c>
      <c r="AH35">
        <v>7027.45</v>
      </c>
      <c r="AI35">
        <v>2789.79</v>
      </c>
      <c r="AJ35">
        <v>3904.99</v>
      </c>
      <c r="AK35">
        <v>10207.44</v>
      </c>
      <c r="AL35" s="6">
        <v>61949.72</v>
      </c>
      <c r="AM35">
        <v>27344.6</v>
      </c>
      <c r="AN35">
        <v>34568.18</v>
      </c>
      <c r="AO35">
        <v>2420.61</v>
      </c>
      <c r="AP35">
        <v>7938.83</v>
      </c>
      <c r="AQ35">
        <v>34175.21</v>
      </c>
      <c r="AR35">
        <v>7666.42</v>
      </c>
      <c r="AS35">
        <v>9797.18</v>
      </c>
      <c r="AT35">
        <v>5995.55</v>
      </c>
      <c r="AU35" s="6">
        <v>4968.1899999999996</v>
      </c>
      <c r="AV35">
        <v>27689.34</v>
      </c>
      <c r="AW35">
        <v>477.06</v>
      </c>
      <c r="AX35">
        <v>32574.28</v>
      </c>
      <c r="AY35">
        <v>5848.9</v>
      </c>
      <c r="AZ35">
        <v>31566.61</v>
      </c>
      <c r="BA35">
        <v>10472.18</v>
      </c>
      <c r="BB35">
        <v>34487.64</v>
      </c>
      <c r="BC35">
        <v>2930.03</v>
      </c>
      <c r="BD35">
        <v>1693.55</v>
      </c>
      <c r="BE35">
        <v>2468.36</v>
      </c>
      <c r="BF35">
        <v>1423.93</v>
      </c>
      <c r="BG35">
        <v>11444.21</v>
      </c>
      <c r="BH35">
        <v>26036.35</v>
      </c>
      <c r="BI35">
        <v>8627.19</v>
      </c>
      <c r="BJ35">
        <v>5083.3500000000004</v>
      </c>
      <c r="BK35">
        <v>38520.089999999997</v>
      </c>
      <c r="BL35">
        <v>3161.91</v>
      </c>
      <c r="BM35">
        <v>1567.07</v>
      </c>
      <c r="BN35">
        <v>17915.23</v>
      </c>
      <c r="BO35">
        <v>3722.39</v>
      </c>
      <c r="BP35">
        <v>2298</v>
      </c>
      <c r="BQ35">
        <v>39474.04</v>
      </c>
      <c r="BR35">
        <v>10529.62</v>
      </c>
      <c r="BS35">
        <v>2889</v>
      </c>
      <c r="BT35">
        <v>37628.230000000003</v>
      </c>
      <c r="BU35">
        <v>30783.64</v>
      </c>
      <c r="BV35">
        <v>32603.82</v>
      </c>
      <c r="BW35">
        <v>6246.82</v>
      </c>
      <c r="BX35">
        <v>4263.6099999999997</v>
      </c>
      <c r="BY35">
        <v>34282.53</v>
      </c>
      <c r="BZ35">
        <v>1820.56</v>
      </c>
      <c r="CA35">
        <v>1606.87</v>
      </c>
      <c r="CB35">
        <v>14277.05</v>
      </c>
      <c r="CC35">
        <v>25081.49</v>
      </c>
      <c r="CD35">
        <v>41541.089999999997</v>
      </c>
      <c r="CE35">
        <v>2153.9</v>
      </c>
      <c r="CF35">
        <v>9813.91</v>
      </c>
      <c r="CG35">
        <v>570.16</v>
      </c>
      <c r="CH35">
        <v>9172.7199999999993</v>
      </c>
      <c r="CI35">
        <v>4928.79</v>
      </c>
      <c r="CJ35">
        <v>2048</v>
      </c>
      <c r="CK35">
        <v>67130.509999999995</v>
      </c>
      <c r="CL35">
        <v>4541.0600000000004</v>
      </c>
      <c r="CM35">
        <v>1172.3800000000001</v>
      </c>
      <c r="CN35">
        <v>8912.92</v>
      </c>
      <c r="CO35">
        <v>12808.11</v>
      </c>
      <c r="CP35">
        <v>1393.58</v>
      </c>
      <c r="CQ35">
        <v>23572.82</v>
      </c>
      <c r="CR35">
        <v>1440.74</v>
      </c>
      <c r="CS35">
        <v>3574.63</v>
      </c>
      <c r="CT35">
        <v>814.35</v>
      </c>
      <c r="CU35">
        <v>2193.23</v>
      </c>
      <c r="CV35">
        <v>19078.02</v>
      </c>
      <c r="CW35">
        <v>13989.23</v>
      </c>
      <c r="CX35">
        <v>893.6</v>
      </c>
      <c r="CY35">
        <v>14320.07</v>
      </c>
      <c r="CZ35">
        <v>5593.6</v>
      </c>
      <c r="DA35">
        <v>729.42</v>
      </c>
      <c r="DB35">
        <v>1549.98</v>
      </c>
      <c r="DC35">
        <v>3422.36</v>
      </c>
      <c r="DD35">
        <v>38763.699999999997</v>
      </c>
      <c r="DE35">
        <v>41154.51</v>
      </c>
      <c r="DF35">
        <v>1247.6099999999999</v>
      </c>
      <c r="DG35">
        <v>29040.14</v>
      </c>
      <c r="DH35">
        <v>20328.87</v>
      </c>
      <c r="DI35">
        <v>2804.64</v>
      </c>
      <c r="DJ35">
        <v>10322.049999999999</v>
      </c>
      <c r="DK35">
        <v>5473.57</v>
      </c>
      <c r="DL35">
        <v>4070.49</v>
      </c>
      <c r="DM35">
        <v>14221.34</v>
      </c>
      <c r="DN35">
        <v>23386.15</v>
      </c>
      <c r="DO35">
        <v>4836.6000000000004</v>
      </c>
      <c r="DP35">
        <v>3152.43</v>
      </c>
      <c r="DQ35">
        <v>8970.33</v>
      </c>
      <c r="DR35">
        <v>869.08</v>
      </c>
      <c r="DS35" s="6">
        <v>20818.689999999999</v>
      </c>
      <c r="DT35">
        <v>1912.49</v>
      </c>
      <c r="DU35">
        <v>2413.63</v>
      </c>
      <c r="DV35">
        <v>42015.76</v>
      </c>
      <c r="DW35">
        <v>1027</v>
      </c>
      <c r="DX35">
        <v>4788.84</v>
      </c>
      <c r="DY35">
        <v>2025.43</v>
      </c>
      <c r="DZ35">
        <v>8458.17</v>
      </c>
      <c r="EA35">
        <v>35412.720000000001</v>
      </c>
      <c r="EB35">
        <v>6782.07</v>
      </c>
      <c r="EC35">
        <v>19103.22</v>
      </c>
      <c r="ED35">
        <v>2567.0500000000002</v>
      </c>
      <c r="EE35">
        <v>19531.240000000002</v>
      </c>
      <c r="EF35">
        <v>829.11</v>
      </c>
      <c r="EG35">
        <v>1321.03</v>
      </c>
      <c r="EH35">
        <v>8505.06</v>
      </c>
      <c r="EI35">
        <v>16141.88</v>
      </c>
      <c r="EJ35">
        <v>8171.22</v>
      </c>
      <c r="EK35">
        <v>10768.63</v>
      </c>
      <c r="EL35">
        <v>34001.019999999997</v>
      </c>
      <c r="EM35">
        <v>1309.4100000000001</v>
      </c>
      <c r="EN35">
        <v>1181.26</v>
      </c>
      <c r="EO35">
        <v>9502.48</v>
      </c>
      <c r="EP35">
        <v>47712.27</v>
      </c>
      <c r="EQ35">
        <v>7968.85</v>
      </c>
      <c r="ER35">
        <v>6439.95</v>
      </c>
      <c r="ES35">
        <v>32666.639999999999</v>
      </c>
      <c r="ET35">
        <v>2417.06</v>
      </c>
      <c r="EU35">
        <v>9409.24</v>
      </c>
      <c r="EV35">
        <v>1328.26</v>
      </c>
      <c r="EW35">
        <v>1694.96</v>
      </c>
    </row>
    <row r="36" spans="1:153" x14ac:dyDescent="0.35">
      <c r="A36">
        <v>2004</v>
      </c>
      <c r="B36">
        <v>42554.43</v>
      </c>
      <c r="C36">
        <v>2788.95</v>
      </c>
      <c r="D36">
        <v>25550.42</v>
      </c>
      <c r="E36">
        <v>5515.28</v>
      </c>
      <c r="F36">
        <v>12074.4</v>
      </c>
      <c r="G36">
        <v>15629.99</v>
      </c>
      <c r="H36">
        <v>39174.379999999997</v>
      </c>
      <c r="I36">
        <v>37184.22</v>
      </c>
      <c r="J36">
        <v>635.71</v>
      </c>
      <c r="K36">
        <v>35311.25</v>
      </c>
      <c r="L36">
        <v>1787.1</v>
      </c>
      <c r="M36">
        <v>1193.77</v>
      </c>
      <c r="N36">
        <v>1432.85</v>
      </c>
      <c r="O36">
        <v>10102.43</v>
      </c>
      <c r="P36">
        <v>30065.99</v>
      </c>
      <c r="Q36" s="6">
        <v>33573.440000000002</v>
      </c>
      <c r="R36">
        <v>7544.05</v>
      </c>
      <c r="S36">
        <v>48518.55</v>
      </c>
      <c r="T36">
        <v>3596.87</v>
      </c>
      <c r="U36">
        <v>8720.19</v>
      </c>
      <c r="V36">
        <v>20486.189999999999</v>
      </c>
      <c r="W36">
        <v>5037.99</v>
      </c>
      <c r="X36">
        <v>11145.77</v>
      </c>
      <c r="Y36">
        <v>844.77</v>
      </c>
      <c r="Z36">
        <v>39645.449999999997</v>
      </c>
      <c r="AA36">
        <v>42735.63</v>
      </c>
      <c r="AB36">
        <v>12446.88</v>
      </c>
      <c r="AC36">
        <v>5571.86</v>
      </c>
      <c r="AD36">
        <v>2159.0100000000002</v>
      </c>
      <c r="AE36">
        <v>2602.54</v>
      </c>
      <c r="AF36">
        <v>553.70000000000005</v>
      </c>
      <c r="AG36">
        <v>2620.8200000000002</v>
      </c>
      <c r="AH36">
        <v>7326.3</v>
      </c>
      <c r="AI36">
        <v>2679.11</v>
      </c>
      <c r="AJ36">
        <v>4113.5</v>
      </c>
      <c r="AK36">
        <v>10429.75</v>
      </c>
      <c r="AL36" s="6">
        <v>60824.49</v>
      </c>
      <c r="AM36">
        <v>28910.89</v>
      </c>
      <c r="AN36">
        <v>35248.82</v>
      </c>
      <c r="AO36">
        <v>2463.69</v>
      </c>
      <c r="AP36">
        <v>8186.58</v>
      </c>
      <c r="AQ36">
        <v>35937.85</v>
      </c>
      <c r="AR36">
        <v>7836.55</v>
      </c>
      <c r="AS36">
        <v>10182.4</v>
      </c>
      <c r="AT36">
        <v>6527.59</v>
      </c>
      <c r="AU36" s="6">
        <v>5117.8999999999996</v>
      </c>
      <c r="AV36">
        <v>28660.67</v>
      </c>
      <c r="AW36">
        <v>556.76</v>
      </c>
      <c r="AX36">
        <v>34139.050000000003</v>
      </c>
      <c r="AY36">
        <v>6025.7</v>
      </c>
      <c r="AZ36">
        <v>32163.279999999999</v>
      </c>
      <c r="BA36">
        <v>12432.9</v>
      </c>
      <c r="BB36">
        <v>35652.03</v>
      </c>
      <c r="BC36">
        <v>3021.93</v>
      </c>
      <c r="BD36">
        <v>1609.2</v>
      </c>
      <c r="BE36">
        <v>2689.27</v>
      </c>
      <c r="BF36">
        <v>1439.48</v>
      </c>
      <c r="BG36">
        <v>14749.67</v>
      </c>
      <c r="BH36">
        <v>27688.66</v>
      </c>
      <c r="BI36">
        <v>8773.67</v>
      </c>
      <c r="BJ36">
        <v>5164.54</v>
      </c>
      <c r="BK36">
        <v>40811.129999999997</v>
      </c>
      <c r="BL36">
        <v>3255.82</v>
      </c>
      <c r="BM36">
        <v>1517.02</v>
      </c>
      <c r="BN36">
        <v>18313.55</v>
      </c>
      <c r="BO36">
        <v>3984.73</v>
      </c>
      <c r="BP36">
        <v>2426.77</v>
      </c>
      <c r="BQ36">
        <v>40741.15</v>
      </c>
      <c r="BR36">
        <v>11895.35</v>
      </c>
      <c r="BS36">
        <v>4455.7700000000004</v>
      </c>
      <c r="BT36">
        <v>40737.360000000001</v>
      </c>
      <c r="BU36">
        <v>30144.31</v>
      </c>
      <c r="BV36">
        <v>32611.33</v>
      </c>
      <c r="BW36">
        <v>6405.19</v>
      </c>
      <c r="BX36">
        <v>4566.18</v>
      </c>
      <c r="BY36">
        <v>34938.07</v>
      </c>
      <c r="BZ36">
        <v>1811.53</v>
      </c>
      <c r="CA36">
        <v>1731.9</v>
      </c>
      <c r="CB36">
        <v>15381.29</v>
      </c>
      <c r="CC36">
        <v>26418.76</v>
      </c>
      <c r="CD36">
        <v>50362.33</v>
      </c>
      <c r="CE36">
        <v>2245.62</v>
      </c>
      <c r="CF36">
        <v>11222.89</v>
      </c>
      <c r="CG36">
        <v>611.98</v>
      </c>
      <c r="CH36">
        <v>9774.89</v>
      </c>
      <c r="CI36">
        <v>5006.6499999999996</v>
      </c>
      <c r="CJ36">
        <v>2113.8000000000002</v>
      </c>
      <c r="CK36">
        <v>70089.78</v>
      </c>
      <c r="CL36">
        <v>4489.9799999999996</v>
      </c>
      <c r="CM36">
        <v>1170.9000000000001</v>
      </c>
      <c r="CN36">
        <v>10355.52</v>
      </c>
      <c r="CO36">
        <v>13468.67</v>
      </c>
      <c r="CP36">
        <v>1279.95</v>
      </c>
      <c r="CQ36">
        <v>23558.91</v>
      </c>
      <c r="CR36">
        <v>1620.63</v>
      </c>
      <c r="CS36">
        <v>4212.21</v>
      </c>
      <c r="CT36">
        <v>870.62</v>
      </c>
      <c r="CU36">
        <v>2160.34</v>
      </c>
      <c r="CV36">
        <v>18474.5</v>
      </c>
      <c r="CW36">
        <v>14104.37</v>
      </c>
      <c r="CX36">
        <v>981.67</v>
      </c>
      <c r="CY36">
        <v>15326.82</v>
      </c>
      <c r="CZ36">
        <v>6158.27</v>
      </c>
      <c r="DA36">
        <v>690.31</v>
      </c>
      <c r="DB36">
        <v>2270.75</v>
      </c>
      <c r="DC36">
        <v>3492.61</v>
      </c>
      <c r="DD36">
        <v>39410.99</v>
      </c>
      <c r="DE36">
        <v>44879.11</v>
      </c>
      <c r="DF36">
        <v>1269.5</v>
      </c>
      <c r="DG36">
        <v>29239.82</v>
      </c>
      <c r="DH36">
        <v>25767.62</v>
      </c>
      <c r="DI36">
        <v>2978.9</v>
      </c>
      <c r="DJ36">
        <v>10706.26</v>
      </c>
      <c r="DK36">
        <v>5877.53</v>
      </c>
      <c r="DL36">
        <v>4101.41</v>
      </c>
      <c r="DM36">
        <v>15017.36</v>
      </c>
      <c r="DN36">
        <v>23868.33</v>
      </c>
      <c r="DO36">
        <v>4904.18</v>
      </c>
      <c r="DP36">
        <v>3345.97</v>
      </c>
      <c r="DQ36">
        <v>10050.76</v>
      </c>
      <c r="DR36">
        <v>937.83</v>
      </c>
      <c r="DS36" s="6">
        <v>24058.14</v>
      </c>
      <c r="DT36">
        <v>2046.02</v>
      </c>
      <c r="DU36">
        <v>2425.4299999999998</v>
      </c>
      <c r="DV36">
        <v>49647.12</v>
      </c>
      <c r="DW36">
        <v>1001.09</v>
      </c>
      <c r="DX36">
        <v>4908.74</v>
      </c>
      <c r="DY36">
        <v>2121.0700000000002</v>
      </c>
      <c r="DZ36">
        <v>9109.98</v>
      </c>
      <c r="EA36">
        <v>36565.42</v>
      </c>
      <c r="EB36">
        <v>6774.46</v>
      </c>
      <c r="EC36">
        <v>16022.57</v>
      </c>
      <c r="ED36">
        <v>3529.82</v>
      </c>
      <c r="EE36">
        <v>20471.23</v>
      </c>
      <c r="EF36">
        <v>1206.0899999999999</v>
      </c>
      <c r="EG36">
        <v>1249.42</v>
      </c>
      <c r="EH36">
        <v>9062.08</v>
      </c>
      <c r="EI36">
        <v>18973.14</v>
      </c>
      <c r="EJ36">
        <v>8319.24</v>
      </c>
      <c r="EK36">
        <v>11859.41</v>
      </c>
      <c r="EL36">
        <v>35008.58</v>
      </c>
      <c r="EM36">
        <v>1350.22</v>
      </c>
      <c r="EN36">
        <v>1207.56</v>
      </c>
      <c r="EO36">
        <v>9844.59</v>
      </c>
      <c r="EP36">
        <v>49138.48</v>
      </c>
      <c r="EQ36">
        <v>8288.42</v>
      </c>
      <c r="ER36">
        <v>8181.38</v>
      </c>
      <c r="ES36">
        <v>32243.37</v>
      </c>
      <c r="ET36">
        <v>2629.56</v>
      </c>
      <c r="EU36">
        <v>9732.7099999999991</v>
      </c>
      <c r="EV36">
        <v>1426.87</v>
      </c>
      <c r="EW36">
        <v>1530.02</v>
      </c>
    </row>
    <row r="37" spans="1:153" x14ac:dyDescent="0.35">
      <c r="A37">
        <v>2005</v>
      </c>
      <c r="B37">
        <v>42680.94</v>
      </c>
      <c r="C37">
        <v>3363.74</v>
      </c>
      <c r="D37">
        <v>28563.83</v>
      </c>
      <c r="E37">
        <v>5848.39</v>
      </c>
      <c r="F37">
        <v>12764.81</v>
      </c>
      <c r="G37">
        <v>16346.9</v>
      </c>
      <c r="H37">
        <v>39925.660000000003</v>
      </c>
      <c r="I37">
        <v>38499.550000000003</v>
      </c>
      <c r="J37">
        <v>605.12</v>
      </c>
      <c r="K37">
        <v>36384.080000000002</v>
      </c>
      <c r="L37">
        <v>1801.52</v>
      </c>
      <c r="M37">
        <v>1242.69</v>
      </c>
      <c r="N37">
        <v>1461.44</v>
      </c>
      <c r="O37">
        <v>10842.1</v>
      </c>
      <c r="P37">
        <v>36970.07</v>
      </c>
      <c r="Q37" s="6">
        <v>35196.61</v>
      </c>
      <c r="R37">
        <v>7506.96</v>
      </c>
      <c r="S37">
        <v>50765.07</v>
      </c>
      <c r="T37">
        <v>3743.53</v>
      </c>
      <c r="U37">
        <v>8812.89</v>
      </c>
      <c r="V37">
        <v>20937.22</v>
      </c>
      <c r="W37">
        <v>5242.94</v>
      </c>
      <c r="X37">
        <v>12599.56</v>
      </c>
      <c r="Y37">
        <v>839.24</v>
      </c>
      <c r="Z37">
        <v>40917.94</v>
      </c>
      <c r="AA37">
        <v>44663.59</v>
      </c>
      <c r="AB37">
        <v>13403.45</v>
      </c>
      <c r="AC37">
        <v>6228.76</v>
      </c>
      <c r="AD37">
        <v>2057.5</v>
      </c>
      <c r="AE37">
        <v>2570.42</v>
      </c>
      <c r="AF37">
        <v>576.28</v>
      </c>
      <c r="AG37">
        <v>3281.68</v>
      </c>
      <c r="AH37">
        <v>7615.52</v>
      </c>
      <c r="AI37">
        <v>2938.48</v>
      </c>
      <c r="AJ37">
        <v>4065.04</v>
      </c>
      <c r="AK37">
        <v>10607.13</v>
      </c>
      <c r="AL37" s="6">
        <v>63009.75</v>
      </c>
      <c r="AM37">
        <v>30873.9</v>
      </c>
      <c r="AN37">
        <v>35637.21</v>
      </c>
      <c r="AO37">
        <v>2545.33</v>
      </c>
      <c r="AP37">
        <v>8129.06</v>
      </c>
      <c r="AQ37">
        <v>37054.879999999997</v>
      </c>
      <c r="AR37">
        <v>8397.39</v>
      </c>
      <c r="AS37">
        <v>11644.56</v>
      </c>
      <c r="AT37">
        <v>7186.56</v>
      </c>
      <c r="AU37" s="6">
        <v>5203.6400000000003</v>
      </c>
      <c r="AV37">
        <v>30136.85</v>
      </c>
      <c r="AW37">
        <v>630.04999999999995</v>
      </c>
      <c r="AX37">
        <v>35202.559999999998</v>
      </c>
      <c r="AY37">
        <v>5932.43</v>
      </c>
      <c r="AZ37">
        <v>33644.949999999997</v>
      </c>
      <c r="BA37">
        <v>17201.93</v>
      </c>
      <c r="BB37">
        <v>36188.61</v>
      </c>
      <c r="BC37">
        <v>3006.71</v>
      </c>
      <c r="BD37">
        <v>1539.43</v>
      </c>
      <c r="BE37">
        <v>2582.61</v>
      </c>
      <c r="BF37">
        <v>1402.4</v>
      </c>
      <c r="BG37">
        <v>20988.51</v>
      </c>
      <c r="BH37">
        <v>27433.52</v>
      </c>
      <c r="BI37">
        <v>9847.67</v>
      </c>
      <c r="BJ37">
        <v>5251.47</v>
      </c>
      <c r="BK37">
        <v>43864.639999999999</v>
      </c>
      <c r="BL37">
        <v>3365.07</v>
      </c>
      <c r="BM37">
        <v>1535.25</v>
      </c>
      <c r="BN37">
        <v>19052.27</v>
      </c>
      <c r="BO37">
        <v>4264.0600000000004</v>
      </c>
      <c r="BP37">
        <v>2679.5</v>
      </c>
      <c r="BQ37">
        <v>43081.1</v>
      </c>
      <c r="BR37">
        <v>13937.49</v>
      </c>
      <c r="BS37">
        <v>4461.76</v>
      </c>
      <c r="BT37">
        <v>44273.68</v>
      </c>
      <c r="BU37">
        <v>29434.71</v>
      </c>
      <c r="BV37">
        <v>32961.19</v>
      </c>
      <c r="BW37">
        <v>6610.01</v>
      </c>
      <c r="BX37">
        <v>5010.37</v>
      </c>
      <c r="BY37">
        <v>35357.39</v>
      </c>
      <c r="BZ37">
        <v>1855.36</v>
      </c>
      <c r="CA37">
        <v>1914.44</v>
      </c>
      <c r="CB37">
        <v>18441.62</v>
      </c>
      <c r="CC37">
        <v>27324.44</v>
      </c>
      <c r="CD37">
        <v>64365.11</v>
      </c>
      <c r="CE37">
        <v>2284.94</v>
      </c>
      <c r="CF37">
        <v>12781.07</v>
      </c>
      <c r="CG37">
        <v>613</v>
      </c>
      <c r="CH37">
        <v>9899.42</v>
      </c>
      <c r="CI37">
        <v>5147.68</v>
      </c>
      <c r="CJ37">
        <v>2183.2600000000002</v>
      </c>
      <c r="CK37">
        <v>75124.100000000006</v>
      </c>
      <c r="CL37">
        <v>4305.8</v>
      </c>
      <c r="CM37">
        <v>1190.46</v>
      </c>
      <c r="CN37">
        <v>9348.4599999999991</v>
      </c>
      <c r="CO37">
        <v>13691.27</v>
      </c>
      <c r="CP37">
        <v>1324.58</v>
      </c>
      <c r="CQ37">
        <v>24279.58</v>
      </c>
      <c r="CR37">
        <v>1884.53</v>
      </c>
      <c r="CS37">
        <v>4946.9399999999996</v>
      </c>
      <c r="CT37">
        <v>919.32</v>
      </c>
      <c r="CU37">
        <v>2219.85</v>
      </c>
      <c r="CV37">
        <v>17697.29</v>
      </c>
      <c r="CW37">
        <v>13137.62</v>
      </c>
      <c r="CX37">
        <v>989.19</v>
      </c>
      <c r="CY37">
        <v>16123.87</v>
      </c>
      <c r="CZ37">
        <v>6314.03</v>
      </c>
      <c r="DA37">
        <v>693.21</v>
      </c>
      <c r="DB37">
        <v>3458.77</v>
      </c>
      <c r="DC37">
        <v>3548.05</v>
      </c>
      <c r="DD37">
        <v>41080.21</v>
      </c>
      <c r="DE37">
        <v>49907.53</v>
      </c>
      <c r="DF37">
        <v>1268.44</v>
      </c>
      <c r="DG37">
        <v>29036.92</v>
      </c>
      <c r="DH37">
        <v>26646.62</v>
      </c>
      <c r="DI37">
        <v>3145.59</v>
      </c>
      <c r="DJ37">
        <v>11828.84</v>
      </c>
      <c r="DK37">
        <v>6384.92</v>
      </c>
      <c r="DL37">
        <v>4055.16</v>
      </c>
      <c r="DM37">
        <v>15460.21</v>
      </c>
      <c r="DN37">
        <v>24848.68</v>
      </c>
      <c r="DO37">
        <v>4820.9799999999996</v>
      </c>
      <c r="DP37">
        <v>3561.45</v>
      </c>
      <c r="DQ37">
        <v>10464.92</v>
      </c>
      <c r="DR37">
        <v>1011.31</v>
      </c>
      <c r="DS37" s="6">
        <v>28314.6</v>
      </c>
      <c r="DT37">
        <v>2297.25</v>
      </c>
      <c r="DU37">
        <v>2485.09</v>
      </c>
      <c r="DV37">
        <v>56183.78</v>
      </c>
      <c r="DW37">
        <v>955.68</v>
      </c>
      <c r="DX37">
        <v>5180.57</v>
      </c>
      <c r="DY37">
        <v>2173.69</v>
      </c>
      <c r="DZ37">
        <v>9541.3799999999992</v>
      </c>
      <c r="EA37">
        <v>36747.22</v>
      </c>
      <c r="EB37">
        <v>7076.69</v>
      </c>
      <c r="EC37">
        <v>18066.080000000002</v>
      </c>
      <c r="ED37">
        <v>5238.4799999999996</v>
      </c>
      <c r="EE37">
        <v>22237.88</v>
      </c>
      <c r="EF37">
        <v>1459.46</v>
      </c>
      <c r="EG37">
        <v>1150</v>
      </c>
      <c r="EH37">
        <v>9439.5300000000007</v>
      </c>
      <c r="EI37">
        <v>20448.38</v>
      </c>
      <c r="EJ37">
        <v>8554.16</v>
      </c>
      <c r="EK37">
        <v>12793.7</v>
      </c>
      <c r="EL37">
        <v>35978.54</v>
      </c>
      <c r="EM37">
        <v>1448.15</v>
      </c>
      <c r="EN37">
        <v>1284.3499999999999</v>
      </c>
      <c r="EO37">
        <v>10227.25</v>
      </c>
      <c r="EP37">
        <v>50303.86</v>
      </c>
      <c r="EQ37">
        <v>8481.7099999999991</v>
      </c>
      <c r="ER37">
        <v>10074.74</v>
      </c>
      <c r="ES37">
        <v>36389.85</v>
      </c>
      <c r="ET37">
        <v>2887.34</v>
      </c>
      <c r="EU37">
        <v>10168.969999999999</v>
      </c>
      <c r="EV37">
        <v>1560.08</v>
      </c>
      <c r="EW37">
        <v>1234.72</v>
      </c>
    </row>
    <row r="38" spans="1:153" x14ac:dyDescent="0.35">
      <c r="A38">
        <v>2006</v>
      </c>
      <c r="B38">
        <v>42730.7</v>
      </c>
      <c r="C38">
        <v>4115.21</v>
      </c>
      <c r="D38">
        <v>33210.519999999997</v>
      </c>
      <c r="E38">
        <v>6406.83</v>
      </c>
      <c r="F38">
        <v>13770.24</v>
      </c>
      <c r="G38">
        <v>18305.13</v>
      </c>
      <c r="H38">
        <v>40703.9</v>
      </c>
      <c r="I38">
        <v>40318.46</v>
      </c>
      <c r="J38">
        <v>612.79999999999995</v>
      </c>
      <c r="K38">
        <v>37592.67</v>
      </c>
      <c r="L38">
        <v>1790.5</v>
      </c>
      <c r="M38">
        <v>1251.67</v>
      </c>
      <c r="N38">
        <v>1588.51</v>
      </c>
      <c r="O38">
        <v>11680.36</v>
      </c>
      <c r="P38">
        <v>38739.72</v>
      </c>
      <c r="Q38" s="6">
        <v>34926.559999999998</v>
      </c>
      <c r="R38">
        <v>7687.68</v>
      </c>
      <c r="S38">
        <v>54633.65</v>
      </c>
      <c r="T38">
        <v>4095.96</v>
      </c>
      <c r="U38">
        <v>9515.43</v>
      </c>
      <c r="V38">
        <v>19633.349999999999</v>
      </c>
      <c r="W38">
        <v>5495.12</v>
      </c>
      <c r="X38">
        <v>13214</v>
      </c>
      <c r="Y38">
        <v>852.75</v>
      </c>
      <c r="Z38">
        <v>41138.86</v>
      </c>
      <c r="AA38">
        <v>48280.18</v>
      </c>
      <c r="AB38">
        <v>15648.71</v>
      </c>
      <c r="AC38">
        <v>6844.39</v>
      </c>
      <c r="AD38">
        <v>2129.7199999999998</v>
      </c>
      <c r="AE38">
        <v>2605.88</v>
      </c>
      <c r="AF38">
        <v>585.16</v>
      </c>
      <c r="AG38">
        <v>3467.57</v>
      </c>
      <c r="AH38">
        <v>8281.32</v>
      </c>
      <c r="AI38">
        <v>2881.26</v>
      </c>
      <c r="AJ38">
        <v>4428.63</v>
      </c>
      <c r="AK38">
        <v>10979.12</v>
      </c>
      <c r="AL38" s="6">
        <v>64055.66</v>
      </c>
      <c r="AM38">
        <v>32547.93</v>
      </c>
      <c r="AN38">
        <v>37150.160000000003</v>
      </c>
      <c r="AO38">
        <v>2884.18</v>
      </c>
      <c r="AP38">
        <v>8741.17</v>
      </c>
      <c r="AQ38">
        <v>39691.58</v>
      </c>
      <c r="AR38">
        <v>9277.91</v>
      </c>
      <c r="AS38">
        <v>12669.24</v>
      </c>
      <c r="AT38">
        <v>7692.93</v>
      </c>
      <c r="AU38" s="6">
        <v>5714.7</v>
      </c>
      <c r="AV38">
        <v>32784.449999999997</v>
      </c>
      <c r="AW38">
        <v>641.73</v>
      </c>
      <c r="AX38">
        <v>36694.17</v>
      </c>
      <c r="AY38">
        <v>6230.2</v>
      </c>
      <c r="AZ38">
        <v>34900.83</v>
      </c>
      <c r="BA38">
        <v>15256.29</v>
      </c>
      <c r="BB38">
        <v>37359.760000000002</v>
      </c>
      <c r="BC38">
        <v>3077.41</v>
      </c>
      <c r="BD38">
        <v>1546.03</v>
      </c>
      <c r="BE38">
        <v>2469.8200000000002</v>
      </c>
      <c r="BF38">
        <v>1335.5</v>
      </c>
      <c r="BG38">
        <v>19244.54</v>
      </c>
      <c r="BH38">
        <v>29838.67</v>
      </c>
      <c r="BI38">
        <v>9724.49</v>
      </c>
      <c r="BJ38">
        <v>5480.76</v>
      </c>
      <c r="BK38">
        <v>45199.81</v>
      </c>
      <c r="BL38">
        <v>3519.53</v>
      </c>
      <c r="BM38">
        <v>1517.2</v>
      </c>
      <c r="BN38">
        <v>19974.38</v>
      </c>
      <c r="BO38">
        <v>4655.2700000000004</v>
      </c>
      <c r="BP38">
        <v>2953.98</v>
      </c>
      <c r="BQ38">
        <v>46786.28</v>
      </c>
      <c r="BR38">
        <v>14804.13</v>
      </c>
      <c r="BS38">
        <v>5223.4399999999996</v>
      </c>
      <c r="BT38">
        <v>46175.98</v>
      </c>
      <c r="BU38">
        <v>29684.639999999999</v>
      </c>
      <c r="BV38">
        <v>34478.19</v>
      </c>
      <c r="BW38">
        <v>6947.32</v>
      </c>
      <c r="BX38">
        <v>5617.08</v>
      </c>
      <c r="BY38">
        <v>35909.32</v>
      </c>
      <c r="BZ38">
        <v>1993.75</v>
      </c>
      <c r="CA38">
        <v>2035.67</v>
      </c>
      <c r="CB38">
        <v>18385.349999999999</v>
      </c>
      <c r="CC38">
        <v>28248.53</v>
      </c>
      <c r="CD38">
        <v>75600.42</v>
      </c>
      <c r="CE38">
        <v>2895.27</v>
      </c>
      <c r="CF38">
        <v>12553.9</v>
      </c>
      <c r="CG38">
        <v>626.09</v>
      </c>
      <c r="CH38">
        <v>9498.8799999999992</v>
      </c>
      <c r="CI38">
        <v>5660.52</v>
      </c>
      <c r="CJ38">
        <v>2227.62</v>
      </c>
      <c r="CK38">
        <v>82331.039999999994</v>
      </c>
      <c r="CL38">
        <v>4672.57</v>
      </c>
      <c r="CM38">
        <v>1240.08</v>
      </c>
      <c r="CN38">
        <v>11743.36</v>
      </c>
      <c r="CO38">
        <v>14310.64</v>
      </c>
      <c r="CP38">
        <v>1491.74</v>
      </c>
      <c r="CQ38">
        <v>24749.59</v>
      </c>
      <c r="CR38">
        <v>2143</v>
      </c>
      <c r="CS38">
        <v>5981.51</v>
      </c>
      <c r="CT38">
        <v>956.51</v>
      </c>
      <c r="CU38">
        <v>2960.68</v>
      </c>
      <c r="CV38">
        <v>17238.7</v>
      </c>
      <c r="CW38">
        <v>13820.31</v>
      </c>
      <c r="CX38">
        <v>998.9</v>
      </c>
      <c r="CY38">
        <v>17066.330000000002</v>
      </c>
      <c r="CZ38">
        <v>7106.21</v>
      </c>
      <c r="DA38">
        <v>705.74</v>
      </c>
      <c r="DB38">
        <v>3551.33</v>
      </c>
      <c r="DC38">
        <v>3586.27</v>
      </c>
      <c r="DD38">
        <v>43355.03</v>
      </c>
      <c r="DE38">
        <v>55063.55</v>
      </c>
      <c r="DF38">
        <v>1316.26</v>
      </c>
      <c r="DG38">
        <v>29575.85</v>
      </c>
      <c r="DH38">
        <v>38457.9</v>
      </c>
      <c r="DI38">
        <v>3350.27</v>
      </c>
      <c r="DJ38">
        <v>12694.37</v>
      </c>
      <c r="DK38">
        <v>7311.8</v>
      </c>
      <c r="DL38">
        <v>4282.5200000000004</v>
      </c>
      <c r="DM38">
        <v>16415.86</v>
      </c>
      <c r="DN38">
        <v>26173.06</v>
      </c>
      <c r="DO38">
        <v>5007.16</v>
      </c>
      <c r="DP38">
        <v>3352.45</v>
      </c>
      <c r="DQ38">
        <v>12232.3</v>
      </c>
      <c r="DR38">
        <v>1100.3699999999999</v>
      </c>
      <c r="DS38" s="6">
        <v>32015.57</v>
      </c>
      <c r="DT38">
        <v>2677.24</v>
      </c>
      <c r="DU38">
        <v>2492.17</v>
      </c>
      <c r="DV38">
        <v>59335.18</v>
      </c>
      <c r="DW38">
        <v>973.33</v>
      </c>
      <c r="DX38">
        <v>5484.25</v>
      </c>
      <c r="DY38">
        <v>2285.29</v>
      </c>
      <c r="DZ38">
        <v>10267.98</v>
      </c>
      <c r="EA38">
        <v>39528.720000000001</v>
      </c>
      <c r="EB38">
        <v>7328.46</v>
      </c>
      <c r="EC38">
        <v>20108.18</v>
      </c>
      <c r="ED38">
        <v>4953.03</v>
      </c>
      <c r="EE38">
        <v>25096.080000000002</v>
      </c>
      <c r="EF38">
        <v>1488.47</v>
      </c>
      <c r="EG38">
        <v>1143.92</v>
      </c>
      <c r="EH38">
        <v>10179.19</v>
      </c>
      <c r="EI38">
        <v>24120.93</v>
      </c>
      <c r="EJ38">
        <v>8902.09</v>
      </c>
      <c r="EK38">
        <v>14492.32</v>
      </c>
      <c r="EL38">
        <v>36972.21</v>
      </c>
      <c r="EM38">
        <v>1506.54</v>
      </c>
      <c r="EN38">
        <v>1341.81</v>
      </c>
      <c r="EO38">
        <v>10887.07</v>
      </c>
      <c r="EP38">
        <v>51271.01</v>
      </c>
      <c r="EQ38">
        <v>9076.5300000000007</v>
      </c>
      <c r="ER38">
        <v>11663.42</v>
      </c>
      <c r="ES38">
        <v>34755.33</v>
      </c>
      <c r="ET38">
        <v>3121.4</v>
      </c>
      <c r="EU38">
        <v>10844.27</v>
      </c>
      <c r="EV38">
        <v>1822.3</v>
      </c>
      <c r="EW38">
        <v>1097.1099999999999</v>
      </c>
    </row>
    <row r="39" spans="1:153" x14ac:dyDescent="0.35">
      <c r="A39">
        <v>2007</v>
      </c>
      <c r="B39">
        <v>44776.66</v>
      </c>
      <c r="C39">
        <v>4353.8100000000004</v>
      </c>
      <c r="D39">
        <v>39179.519999999997</v>
      </c>
      <c r="E39">
        <v>7014.49</v>
      </c>
      <c r="F39">
        <v>14940.02</v>
      </c>
      <c r="G39">
        <v>20419.18</v>
      </c>
      <c r="H39">
        <v>41337.769999999997</v>
      </c>
      <c r="I39">
        <v>41867.300000000003</v>
      </c>
      <c r="J39">
        <v>616.26</v>
      </c>
      <c r="K39">
        <v>38936.949999999997</v>
      </c>
      <c r="L39">
        <v>1806.08</v>
      </c>
      <c r="M39">
        <v>1235.06</v>
      </c>
      <c r="N39">
        <v>1752.89</v>
      </c>
      <c r="O39">
        <v>13094.76</v>
      </c>
      <c r="P39">
        <v>41015.760000000002</v>
      </c>
      <c r="Q39" s="6">
        <v>35920.26</v>
      </c>
      <c r="R39">
        <v>7762.9</v>
      </c>
      <c r="S39">
        <v>60522.49</v>
      </c>
      <c r="T39">
        <v>4248.84</v>
      </c>
      <c r="U39">
        <v>10462.15</v>
      </c>
      <c r="V39">
        <v>21108.3</v>
      </c>
      <c r="W39">
        <v>6161.35</v>
      </c>
      <c r="X39">
        <v>13347.71</v>
      </c>
      <c r="Y39">
        <v>868.91</v>
      </c>
      <c r="Z39">
        <v>41359.9</v>
      </c>
      <c r="AA39">
        <v>52723.54</v>
      </c>
      <c r="AB39">
        <v>16855.54</v>
      </c>
      <c r="AC39">
        <v>7330.28</v>
      </c>
      <c r="AD39">
        <v>2178.77</v>
      </c>
      <c r="AE39">
        <v>2661.27</v>
      </c>
      <c r="AF39">
        <v>618.26</v>
      </c>
      <c r="AG39">
        <v>2833.57</v>
      </c>
      <c r="AH39">
        <v>9024.0400000000009</v>
      </c>
      <c r="AI39">
        <v>2297.0300000000002</v>
      </c>
      <c r="AJ39">
        <v>5006.97</v>
      </c>
      <c r="AK39">
        <v>11622.56</v>
      </c>
      <c r="AL39" s="6">
        <v>64219.09</v>
      </c>
      <c r="AM39">
        <v>34802.589999999997</v>
      </c>
      <c r="AN39">
        <v>39135.4</v>
      </c>
      <c r="AO39">
        <v>2829.76</v>
      </c>
      <c r="AP39">
        <v>9243.7199999999993</v>
      </c>
      <c r="AQ39">
        <v>41254.79</v>
      </c>
      <c r="AR39">
        <v>10017.120000000001</v>
      </c>
      <c r="AS39">
        <v>12400.21</v>
      </c>
      <c r="AT39">
        <v>8057.27</v>
      </c>
      <c r="AU39" s="6">
        <v>6364.81</v>
      </c>
      <c r="AV39">
        <v>34771.54</v>
      </c>
      <c r="AW39">
        <v>764.97</v>
      </c>
      <c r="AX39">
        <v>39887.279999999999</v>
      </c>
      <c r="AY39">
        <v>6289.63</v>
      </c>
      <c r="AZ39">
        <v>36463.199999999997</v>
      </c>
      <c r="BA39">
        <v>14476.78</v>
      </c>
      <c r="BB39">
        <v>37910.199999999997</v>
      </c>
      <c r="BC39">
        <v>3537.1</v>
      </c>
      <c r="BD39">
        <v>1556.8</v>
      </c>
      <c r="BE39">
        <v>2435.61</v>
      </c>
      <c r="BF39">
        <v>1345.19</v>
      </c>
      <c r="BG39">
        <v>21142.23</v>
      </c>
      <c r="BH39">
        <v>30585.69</v>
      </c>
      <c r="BI39">
        <v>10534.41</v>
      </c>
      <c r="BJ39">
        <v>5793.81</v>
      </c>
      <c r="BK39">
        <v>47759.360000000001</v>
      </c>
      <c r="BL39">
        <v>3652.13</v>
      </c>
      <c r="BM39">
        <v>1593.27</v>
      </c>
      <c r="BN39">
        <v>20589.45</v>
      </c>
      <c r="BO39">
        <v>5094.29</v>
      </c>
      <c r="BP39">
        <v>3290.87</v>
      </c>
      <c r="BQ39">
        <v>50000.59</v>
      </c>
      <c r="BR39">
        <v>16489.95</v>
      </c>
      <c r="BS39">
        <v>5857.15</v>
      </c>
      <c r="BT39">
        <v>46952.85</v>
      </c>
      <c r="BU39">
        <v>29824.400000000001</v>
      </c>
      <c r="BV39">
        <v>35872.660000000003</v>
      </c>
      <c r="BW39">
        <v>7267.47</v>
      </c>
      <c r="BX39">
        <v>6278.17</v>
      </c>
      <c r="BY39">
        <v>36599.730000000003</v>
      </c>
      <c r="BZ39">
        <v>2094.29</v>
      </c>
      <c r="CA39">
        <v>2179.5500000000002</v>
      </c>
      <c r="CB39">
        <v>18598.53</v>
      </c>
      <c r="CC39">
        <v>29846.18</v>
      </c>
      <c r="CD39">
        <v>77976.160000000003</v>
      </c>
      <c r="CE39">
        <v>3187.69</v>
      </c>
      <c r="CF39">
        <v>13482.25</v>
      </c>
      <c r="CG39">
        <v>726.69</v>
      </c>
      <c r="CH39">
        <v>9941.73</v>
      </c>
      <c r="CI39">
        <v>6157.13</v>
      </c>
      <c r="CJ39">
        <v>2277.88</v>
      </c>
      <c r="CK39">
        <v>87294.59</v>
      </c>
      <c r="CL39">
        <v>4890.71</v>
      </c>
      <c r="CM39">
        <v>1265.74</v>
      </c>
      <c r="CN39">
        <v>13196.86</v>
      </c>
      <c r="CO39">
        <v>14544.99</v>
      </c>
      <c r="CP39">
        <v>1459.51</v>
      </c>
      <c r="CQ39">
        <v>26411.200000000001</v>
      </c>
      <c r="CR39">
        <v>2376.7800000000002</v>
      </c>
      <c r="CS39">
        <v>6585.1</v>
      </c>
      <c r="CT39">
        <v>974.4</v>
      </c>
      <c r="CU39">
        <v>2865.25</v>
      </c>
      <c r="CV39">
        <v>17712.7</v>
      </c>
      <c r="CW39">
        <v>14960.76</v>
      </c>
      <c r="CX39">
        <v>1148.4100000000001</v>
      </c>
      <c r="CY39">
        <v>18120.310000000001</v>
      </c>
      <c r="CZ39">
        <v>7356.49</v>
      </c>
      <c r="DA39">
        <v>705.53</v>
      </c>
      <c r="DB39">
        <v>4468.68</v>
      </c>
      <c r="DC39">
        <v>3710.57</v>
      </c>
      <c r="DD39">
        <v>46014.9</v>
      </c>
      <c r="DE39">
        <v>57068.160000000003</v>
      </c>
      <c r="DF39">
        <v>1385</v>
      </c>
      <c r="DG39">
        <v>31360.9</v>
      </c>
      <c r="DH39">
        <v>40960.050000000003</v>
      </c>
      <c r="DI39">
        <v>3563.78</v>
      </c>
      <c r="DJ39">
        <v>11940.6</v>
      </c>
      <c r="DK39">
        <v>7983.11</v>
      </c>
      <c r="DL39">
        <v>4562.7299999999996</v>
      </c>
      <c r="DM39">
        <v>17966.849999999999</v>
      </c>
      <c r="DN39">
        <v>27020.799999999999</v>
      </c>
      <c r="DO39">
        <v>5424.77</v>
      </c>
      <c r="DP39">
        <v>3371.51</v>
      </c>
      <c r="DQ39">
        <v>14224.09</v>
      </c>
      <c r="DR39">
        <v>1142.9000000000001</v>
      </c>
      <c r="DS39" s="6">
        <v>34430.720000000001</v>
      </c>
      <c r="DT39">
        <v>2710.73</v>
      </c>
      <c r="DU39">
        <v>2582.15</v>
      </c>
      <c r="DV39">
        <v>63381.79</v>
      </c>
      <c r="DW39">
        <v>1009.23</v>
      </c>
      <c r="DX39">
        <v>5679.11</v>
      </c>
      <c r="DY39">
        <v>2324.0700000000002</v>
      </c>
      <c r="DZ39">
        <v>10862.17</v>
      </c>
      <c r="EA39">
        <v>42660.94</v>
      </c>
      <c r="EB39">
        <v>7287.35</v>
      </c>
      <c r="EC39">
        <v>21659.360000000001</v>
      </c>
      <c r="ED39">
        <v>5094.0200000000004</v>
      </c>
      <c r="EE39">
        <v>25587.07</v>
      </c>
      <c r="EF39">
        <v>1595.94</v>
      </c>
      <c r="EG39">
        <v>1115.8699999999999</v>
      </c>
      <c r="EH39">
        <v>11038.67</v>
      </c>
      <c r="EI39">
        <v>26650.84</v>
      </c>
      <c r="EJ39">
        <v>9402.4599999999991</v>
      </c>
      <c r="EK39">
        <v>15716.07</v>
      </c>
      <c r="EL39">
        <v>38591.120000000003</v>
      </c>
      <c r="EM39">
        <v>1616.79</v>
      </c>
      <c r="EN39">
        <v>1394.62</v>
      </c>
      <c r="EO39">
        <v>12002.86</v>
      </c>
      <c r="EP39">
        <v>51720.58</v>
      </c>
      <c r="EQ39">
        <v>9402.34</v>
      </c>
      <c r="ER39">
        <v>13099.27</v>
      </c>
      <c r="ES39">
        <v>33212.699999999997</v>
      </c>
      <c r="ET39">
        <v>3320.06</v>
      </c>
      <c r="EU39">
        <v>11368.31</v>
      </c>
      <c r="EV39">
        <v>2431.9899999999998</v>
      </c>
      <c r="EW39">
        <v>1115</v>
      </c>
    </row>
    <row r="40" spans="1:153" x14ac:dyDescent="0.35">
      <c r="A40">
        <v>2008</v>
      </c>
      <c r="B40">
        <v>45110.66</v>
      </c>
      <c r="C40">
        <v>5014.29</v>
      </c>
      <c r="D40">
        <v>38608.94</v>
      </c>
      <c r="E40">
        <v>7749.34</v>
      </c>
      <c r="F40">
        <v>15703.44</v>
      </c>
      <c r="G40">
        <v>21255.360000000001</v>
      </c>
      <c r="H40">
        <v>41295.4</v>
      </c>
      <c r="I40">
        <v>42896.36</v>
      </c>
      <c r="J40">
        <v>640.27</v>
      </c>
      <c r="K40">
        <v>39678.75</v>
      </c>
      <c r="L40">
        <v>1844.64</v>
      </c>
      <c r="M40">
        <v>1248.8</v>
      </c>
      <c r="N40">
        <v>1892.52</v>
      </c>
      <c r="O40">
        <v>14229.54</v>
      </c>
      <c r="P40">
        <v>43683.360000000001</v>
      </c>
      <c r="Q40" s="6">
        <v>34126.730000000003</v>
      </c>
      <c r="R40">
        <v>7509.77</v>
      </c>
      <c r="S40">
        <v>63268.17</v>
      </c>
      <c r="T40">
        <v>4604.34</v>
      </c>
      <c r="U40">
        <v>11472.68</v>
      </c>
      <c r="V40">
        <v>20034.330000000002</v>
      </c>
      <c r="W40">
        <v>5875.57</v>
      </c>
      <c r="X40">
        <v>12718.23</v>
      </c>
      <c r="Y40">
        <v>861.86</v>
      </c>
      <c r="Z40">
        <v>41346.17</v>
      </c>
      <c r="AA40">
        <v>54403.86</v>
      </c>
      <c r="AB40">
        <v>16349.52</v>
      </c>
      <c r="AC40">
        <v>7635.55</v>
      </c>
      <c r="AD40">
        <v>2298.34</v>
      </c>
      <c r="AE40">
        <v>2688.55</v>
      </c>
      <c r="AF40">
        <v>593.79999999999995</v>
      </c>
      <c r="AG40">
        <v>3654.57</v>
      </c>
      <c r="AH40">
        <v>9615.65</v>
      </c>
      <c r="AI40">
        <v>2358.98</v>
      </c>
      <c r="AJ40">
        <v>5386.96</v>
      </c>
      <c r="AK40">
        <v>11871.93</v>
      </c>
      <c r="AL40" s="6">
        <v>62243.13</v>
      </c>
      <c r="AM40">
        <v>36136.93</v>
      </c>
      <c r="AN40">
        <v>39986.42</v>
      </c>
      <c r="AO40">
        <v>3028.7</v>
      </c>
      <c r="AP40">
        <v>9908.3799999999992</v>
      </c>
      <c r="AQ40">
        <v>42729.41</v>
      </c>
      <c r="AR40">
        <v>10039.049999999999</v>
      </c>
      <c r="AS40">
        <v>12989.82</v>
      </c>
      <c r="AT40">
        <v>8788</v>
      </c>
      <c r="AU40" s="6">
        <v>7050.48</v>
      </c>
      <c r="AV40">
        <v>34931.64</v>
      </c>
      <c r="AW40">
        <v>808.97</v>
      </c>
      <c r="AX40">
        <v>41531.589999999997</v>
      </c>
      <c r="AY40">
        <v>6448.68</v>
      </c>
      <c r="AZ40">
        <v>36689.550000000003</v>
      </c>
      <c r="BA40">
        <v>14430.67</v>
      </c>
      <c r="BB40">
        <v>37725.160000000003</v>
      </c>
      <c r="BC40">
        <v>3782.38</v>
      </c>
      <c r="BD40">
        <v>1579.24</v>
      </c>
      <c r="BE40">
        <v>2455.5</v>
      </c>
      <c r="BF40">
        <v>1340.58</v>
      </c>
      <c r="BG40">
        <v>29615.23</v>
      </c>
      <c r="BH40">
        <v>31339.95</v>
      </c>
      <c r="BI40">
        <v>10915.16</v>
      </c>
      <c r="BJ40">
        <v>5942.37</v>
      </c>
      <c r="BK40">
        <v>47564.47</v>
      </c>
      <c r="BL40">
        <v>3639.19</v>
      </c>
      <c r="BM40">
        <v>1525.43</v>
      </c>
      <c r="BN40">
        <v>21810.55</v>
      </c>
      <c r="BO40">
        <v>5809.18</v>
      </c>
      <c r="BP40">
        <v>3359.12</v>
      </c>
      <c r="BQ40">
        <v>46151.5</v>
      </c>
      <c r="BR40">
        <v>16272.63</v>
      </c>
      <c r="BS40">
        <v>6792.86</v>
      </c>
      <c r="BT40">
        <v>51970.48</v>
      </c>
      <c r="BU40">
        <v>29095.16</v>
      </c>
      <c r="BV40">
        <v>36608.42</v>
      </c>
      <c r="BW40">
        <v>7042.04</v>
      </c>
      <c r="BX40">
        <v>7720.66</v>
      </c>
      <c r="BY40">
        <v>35884.46</v>
      </c>
      <c r="BZ40">
        <v>2110.15</v>
      </c>
      <c r="CA40">
        <v>2410.54</v>
      </c>
      <c r="CB40">
        <v>20198.53</v>
      </c>
      <c r="CC40">
        <v>29835.7</v>
      </c>
      <c r="CD40">
        <v>83943.23</v>
      </c>
      <c r="CE40">
        <v>3319.22</v>
      </c>
      <c r="CF40">
        <v>14384.55</v>
      </c>
      <c r="CG40">
        <v>734.99</v>
      </c>
      <c r="CH40">
        <v>10569.44</v>
      </c>
      <c r="CI40">
        <v>6577.28</v>
      </c>
      <c r="CJ40">
        <v>2375.16</v>
      </c>
      <c r="CK40">
        <v>89110.95</v>
      </c>
      <c r="CL40">
        <v>5338.91</v>
      </c>
      <c r="CM40">
        <v>1349.59</v>
      </c>
      <c r="CN40">
        <v>13358.44</v>
      </c>
      <c r="CO40">
        <v>14522.68</v>
      </c>
      <c r="CP40">
        <v>1517.09</v>
      </c>
      <c r="CQ40">
        <v>26994.31</v>
      </c>
      <c r="CR40">
        <v>2586.63</v>
      </c>
      <c r="CS40">
        <v>6658.45</v>
      </c>
      <c r="CT40">
        <v>995.64</v>
      </c>
      <c r="CU40">
        <v>2690.09</v>
      </c>
      <c r="CV40">
        <v>18058.509999999998</v>
      </c>
      <c r="CW40">
        <v>15046.94</v>
      </c>
      <c r="CX40">
        <v>1155.78</v>
      </c>
      <c r="CY40">
        <v>19908.71</v>
      </c>
      <c r="CZ40">
        <v>7990.11</v>
      </c>
      <c r="DA40">
        <v>741.99</v>
      </c>
      <c r="DB40">
        <v>4474.84</v>
      </c>
      <c r="DC40">
        <v>3813.61</v>
      </c>
      <c r="DD40">
        <v>47672.84</v>
      </c>
      <c r="DE40">
        <v>61023.86</v>
      </c>
      <c r="DF40">
        <v>1500.27</v>
      </c>
      <c r="DG40">
        <v>30720.799999999999</v>
      </c>
      <c r="DH40">
        <v>47136.27</v>
      </c>
      <c r="DI40">
        <v>3617.21</v>
      </c>
      <c r="DJ40">
        <v>12967.85</v>
      </c>
      <c r="DK40">
        <v>8416.02</v>
      </c>
      <c r="DL40">
        <v>4786.09</v>
      </c>
      <c r="DM40">
        <v>18990.490000000002</v>
      </c>
      <c r="DN40">
        <v>27255.8</v>
      </c>
      <c r="DO40">
        <v>5809.69</v>
      </c>
      <c r="DP40">
        <v>3570.48</v>
      </c>
      <c r="DQ40">
        <v>16701.96</v>
      </c>
      <c r="DR40">
        <v>1148.82</v>
      </c>
      <c r="DS40" s="6">
        <v>42376.24</v>
      </c>
      <c r="DT40">
        <v>2646.16</v>
      </c>
      <c r="DU40">
        <v>2535.06</v>
      </c>
      <c r="DV40">
        <v>60868.78</v>
      </c>
      <c r="DW40">
        <v>1049.5899999999999</v>
      </c>
      <c r="DX40">
        <v>5819.94</v>
      </c>
      <c r="DY40">
        <v>2454.91</v>
      </c>
      <c r="DZ40">
        <v>11684.7</v>
      </c>
      <c r="EA40">
        <v>43024.55</v>
      </c>
      <c r="EB40">
        <v>6979.51</v>
      </c>
      <c r="EC40">
        <v>18685.849999999999</v>
      </c>
      <c r="ED40">
        <v>5200.3999999999996</v>
      </c>
      <c r="EE40">
        <v>26995.32</v>
      </c>
      <c r="EF40">
        <v>1610.81</v>
      </c>
      <c r="EG40">
        <v>1138.98</v>
      </c>
      <c r="EH40">
        <v>11374.44</v>
      </c>
      <c r="EI40">
        <v>30290.52</v>
      </c>
      <c r="EJ40">
        <v>9720.2999999999993</v>
      </c>
      <c r="EK40">
        <v>16446.87</v>
      </c>
      <c r="EL40">
        <v>36713.21</v>
      </c>
      <c r="EM40">
        <v>1692.3</v>
      </c>
      <c r="EN40">
        <v>1444.8</v>
      </c>
      <c r="EO40">
        <v>13373.23</v>
      </c>
      <c r="EP40">
        <v>50549.51</v>
      </c>
      <c r="EQ40">
        <v>9629.9500000000007</v>
      </c>
      <c r="ER40">
        <v>14844.4</v>
      </c>
      <c r="ES40">
        <v>31850.19</v>
      </c>
      <c r="ET40">
        <v>3565</v>
      </c>
      <c r="EU40">
        <v>11427.06</v>
      </c>
      <c r="EV40">
        <v>2476.2800000000002</v>
      </c>
      <c r="EW40">
        <v>810.23</v>
      </c>
    </row>
    <row r="41" spans="1:153" x14ac:dyDescent="0.35">
      <c r="A41">
        <v>2009</v>
      </c>
      <c r="B41">
        <v>43607.57</v>
      </c>
      <c r="C41">
        <v>3978.64</v>
      </c>
      <c r="D41">
        <v>29035.22</v>
      </c>
      <c r="E41">
        <v>8385.2800000000007</v>
      </c>
      <c r="F41">
        <v>14598.83</v>
      </c>
      <c r="G41">
        <v>19736.2</v>
      </c>
      <c r="H41">
        <v>41156.519999999997</v>
      </c>
      <c r="I41">
        <v>42216.19</v>
      </c>
      <c r="J41">
        <v>648.04999999999995</v>
      </c>
      <c r="K41">
        <v>39205.81</v>
      </c>
      <c r="L41">
        <v>1834.64</v>
      </c>
      <c r="M41">
        <v>1248.44</v>
      </c>
      <c r="N41">
        <v>2074.08</v>
      </c>
      <c r="O41">
        <v>14464.92</v>
      </c>
      <c r="P41">
        <v>36885.82</v>
      </c>
      <c r="Q41" s="6">
        <v>31387.040000000001</v>
      </c>
      <c r="R41">
        <v>7344.24</v>
      </c>
      <c r="S41">
        <v>61518.78</v>
      </c>
      <c r="T41">
        <v>4623.83</v>
      </c>
      <c r="U41">
        <v>11875.58</v>
      </c>
      <c r="V41">
        <v>18154.96</v>
      </c>
      <c r="W41">
        <v>6289.69</v>
      </c>
      <c r="X41">
        <v>11560.66</v>
      </c>
      <c r="Y41">
        <v>837.08</v>
      </c>
      <c r="Z41">
        <v>38350.730000000003</v>
      </c>
      <c r="AA41">
        <v>53368.85</v>
      </c>
      <c r="AB41">
        <v>16646.810000000001</v>
      </c>
      <c r="AC41">
        <v>8254.58</v>
      </c>
      <c r="AD41">
        <v>2462.1999999999998</v>
      </c>
      <c r="AE41">
        <v>2663.03</v>
      </c>
      <c r="AF41">
        <v>591.15</v>
      </c>
      <c r="AG41">
        <v>3191.73</v>
      </c>
      <c r="AH41">
        <v>9783.99</v>
      </c>
      <c r="AI41">
        <v>2401.35</v>
      </c>
      <c r="AJ41">
        <v>5538.24</v>
      </c>
      <c r="AK41">
        <v>12574.43</v>
      </c>
      <c r="AL41" s="6">
        <v>56323.38</v>
      </c>
      <c r="AM41">
        <v>34919.21</v>
      </c>
      <c r="AN41">
        <v>38430.53</v>
      </c>
      <c r="AO41">
        <v>2518.06</v>
      </c>
      <c r="AP41">
        <v>9870.36</v>
      </c>
      <c r="AQ41">
        <v>41127.97</v>
      </c>
      <c r="AR41">
        <v>10465.76</v>
      </c>
      <c r="AS41">
        <v>11041.69</v>
      </c>
      <c r="AT41">
        <v>8517.59</v>
      </c>
      <c r="AU41" s="6">
        <v>7616.14</v>
      </c>
      <c r="AV41">
        <v>33625.69</v>
      </c>
      <c r="AW41">
        <v>877.49</v>
      </c>
      <c r="AX41">
        <v>39067.279999999999</v>
      </c>
      <c r="AY41">
        <v>6540.74</v>
      </c>
      <c r="AZ41">
        <v>35812.699999999997</v>
      </c>
      <c r="BA41">
        <v>11391.84</v>
      </c>
      <c r="BB41">
        <v>35423.31</v>
      </c>
      <c r="BC41">
        <v>3641.24</v>
      </c>
      <c r="BD41">
        <v>1493.75</v>
      </c>
      <c r="BE41">
        <v>2478.4899999999998</v>
      </c>
      <c r="BF41">
        <v>1291.0999999999999</v>
      </c>
      <c r="BG41">
        <v>21851.97</v>
      </c>
      <c r="BH41">
        <v>30528.400000000001</v>
      </c>
      <c r="BI41">
        <v>10460.450000000001</v>
      </c>
      <c r="BJ41">
        <v>6134.95</v>
      </c>
      <c r="BK41">
        <v>46069.1</v>
      </c>
      <c r="BL41">
        <v>3637.15</v>
      </c>
      <c r="BM41">
        <v>1595.94</v>
      </c>
      <c r="BN41">
        <v>21841.18</v>
      </c>
      <c r="BO41">
        <v>6398.56</v>
      </c>
      <c r="BP41">
        <v>3688.58</v>
      </c>
      <c r="BQ41">
        <v>42554.35</v>
      </c>
      <c r="BR41">
        <v>16132.4</v>
      </c>
      <c r="BS41">
        <v>8003.29</v>
      </c>
      <c r="BT41">
        <v>43681.96</v>
      </c>
      <c r="BU41">
        <v>29612.51</v>
      </c>
      <c r="BV41">
        <v>35626.18</v>
      </c>
      <c r="BW41">
        <v>7049.42</v>
      </c>
      <c r="BX41">
        <v>8742.5300000000007</v>
      </c>
      <c r="BY41">
        <v>34672.42</v>
      </c>
      <c r="BZ41">
        <v>2234.61</v>
      </c>
      <c r="CA41">
        <v>2406.48</v>
      </c>
      <c r="CB41">
        <v>20226.04</v>
      </c>
      <c r="CC41">
        <v>30161.34</v>
      </c>
      <c r="CD41">
        <v>60128.26</v>
      </c>
      <c r="CE41">
        <v>3770.01</v>
      </c>
      <c r="CF41">
        <v>17021.3</v>
      </c>
      <c r="CG41">
        <v>724.09</v>
      </c>
      <c r="CH41">
        <v>10780.77</v>
      </c>
      <c r="CI41">
        <v>7528.14</v>
      </c>
      <c r="CJ41">
        <v>2219.4699999999998</v>
      </c>
      <c r="CK41">
        <v>81832.990000000005</v>
      </c>
      <c r="CL41">
        <v>5928.65</v>
      </c>
      <c r="CM41">
        <v>1293.31</v>
      </c>
      <c r="CN41">
        <v>11915.82</v>
      </c>
      <c r="CO41">
        <v>13973.26</v>
      </c>
      <c r="CP41">
        <v>1724.03</v>
      </c>
      <c r="CQ41">
        <v>26791.83</v>
      </c>
      <c r="CR41">
        <v>2860.93</v>
      </c>
      <c r="CS41">
        <v>6253.58</v>
      </c>
      <c r="CT41">
        <v>978.86</v>
      </c>
      <c r="CU41">
        <v>2620.89</v>
      </c>
      <c r="CV41">
        <v>18109.900000000001</v>
      </c>
      <c r="CW41">
        <v>14916.27</v>
      </c>
      <c r="CX41">
        <v>1008.81</v>
      </c>
      <c r="CY41">
        <v>19142.13</v>
      </c>
      <c r="CZ41">
        <v>8050.91</v>
      </c>
      <c r="DA41">
        <v>721.97</v>
      </c>
      <c r="DB41">
        <v>4830.1899999999996</v>
      </c>
      <c r="DC41">
        <v>3842.9</v>
      </c>
      <c r="DD41">
        <v>45233.26</v>
      </c>
      <c r="DE41">
        <v>55649.48</v>
      </c>
      <c r="DF41">
        <v>1620.77</v>
      </c>
      <c r="DG41">
        <v>30634.55</v>
      </c>
      <c r="DH41">
        <v>38537.519999999997</v>
      </c>
      <c r="DI41">
        <v>3860.05</v>
      </c>
      <c r="DJ41">
        <v>13975.85</v>
      </c>
      <c r="DK41">
        <v>8514.58</v>
      </c>
      <c r="DL41">
        <v>4981.63</v>
      </c>
      <c r="DM41">
        <v>19958.07</v>
      </c>
      <c r="DN41">
        <v>27107.55</v>
      </c>
      <c r="DO41">
        <v>5945.48</v>
      </c>
      <c r="DP41">
        <v>3764.18</v>
      </c>
      <c r="DQ41">
        <v>16752.45</v>
      </c>
      <c r="DR41">
        <v>1241.8900000000001</v>
      </c>
      <c r="DS41" s="6">
        <v>34827.33</v>
      </c>
      <c r="DT41">
        <v>3041.1</v>
      </c>
      <c r="DU41">
        <v>2705.25</v>
      </c>
      <c r="DV41">
        <v>59897.45</v>
      </c>
      <c r="DW41">
        <v>1101.78</v>
      </c>
      <c r="DX41">
        <v>5821.32</v>
      </c>
      <c r="DY41">
        <v>2514.54</v>
      </c>
      <c r="DZ41">
        <v>12343.94</v>
      </c>
      <c r="EA41">
        <v>40469.43</v>
      </c>
      <c r="EB41">
        <v>7185.12</v>
      </c>
      <c r="EC41">
        <v>16984.810000000001</v>
      </c>
      <c r="ED41">
        <v>5210.16</v>
      </c>
      <c r="EE41">
        <v>21206.99</v>
      </c>
      <c r="EF41">
        <v>1461.86</v>
      </c>
      <c r="EG41">
        <v>1168.79</v>
      </c>
      <c r="EH41">
        <v>11848.37</v>
      </c>
      <c r="EI41">
        <v>24215.21</v>
      </c>
      <c r="EJ41">
        <v>10159.51</v>
      </c>
      <c r="EK41">
        <v>15925.44</v>
      </c>
      <c r="EL41">
        <v>36747.730000000003</v>
      </c>
      <c r="EM41">
        <v>1761.24</v>
      </c>
      <c r="EN41">
        <v>1570.68</v>
      </c>
      <c r="EO41">
        <v>14487.85</v>
      </c>
      <c r="EP41">
        <v>49103.7</v>
      </c>
      <c r="EQ41">
        <v>9527.0300000000007</v>
      </c>
      <c r="ER41">
        <v>12670.51</v>
      </c>
      <c r="ES41">
        <v>30177.79</v>
      </c>
      <c r="ET41">
        <v>3748.63</v>
      </c>
      <c r="EU41">
        <v>11176.27</v>
      </c>
      <c r="EV41">
        <v>2735.47</v>
      </c>
      <c r="EW41">
        <v>1391.64</v>
      </c>
    </row>
    <row r="42" spans="1:153" x14ac:dyDescent="0.35">
      <c r="A42">
        <v>2010</v>
      </c>
      <c r="B42">
        <v>39064.04</v>
      </c>
      <c r="C42">
        <v>5408.56</v>
      </c>
      <c r="D42">
        <v>27006.13</v>
      </c>
      <c r="E42">
        <v>9243.14</v>
      </c>
      <c r="F42">
        <v>16042.5</v>
      </c>
      <c r="G42">
        <v>18416.669999999998</v>
      </c>
      <c r="H42">
        <v>43056.25</v>
      </c>
      <c r="I42">
        <v>43076.35</v>
      </c>
      <c r="J42">
        <v>682.61</v>
      </c>
      <c r="K42">
        <v>41439.040000000001</v>
      </c>
      <c r="L42">
        <v>1786.77</v>
      </c>
      <c r="M42">
        <v>1323.58</v>
      </c>
      <c r="N42">
        <v>2307.4499999999998</v>
      </c>
      <c r="O42">
        <v>15348.97</v>
      </c>
      <c r="P42">
        <v>40069.769999999997</v>
      </c>
      <c r="Q42" s="6">
        <v>31412.83</v>
      </c>
      <c r="R42">
        <v>7628.69</v>
      </c>
      <c r="S42">
        <v>62289.96</v>
      </c>
      <c r="T42">
        <v>5104.78</v>
      </c>
      <c r="U42">
        <v>13623.48</v>
      </c>
      <c r="V42">
        <v>17051.43</v>
      </c>
      <c r="W42">
        <v>6481.62</v>
      </c>
      <c r="X42">
        <v>12893.37</v>
      </c>
      <c r="Y42">
        <v>859.98</v>
      </c>
      <c r="Z42">
        <v>39877.29</v>
      </c>
      <c r="AA42">
        <v>54027.97</v>
      </c>
      <c r="AB42">
        <v>19069.79</v>
      </c>
      <c r="AC42">
        <v>9423.4500000000007</v>
      </c>
      <c r="AD42">
        <v>2596.71</v>
      </c>
      <c r="AE42">
        <v>2700.11</v>
      </c>
      <c r="AF42">
        <v>650.37</v>
      </c>
      <c r="AG42">
        <v>4709.3900000000003</v>
      </c>
      <c r="AH42">
        <v>10501.83</v>
      </c>
      <c r="AI42">
        <v>2305.79</v>
      </c>
      <c r="AJ42">
        <v>5683.48</v>
      </c>
      <c r="AK42">
        <v>12915.08</v>
      </c>
      <c r="AL42" s="6">
        <v>53581.74</v>
      </c>
      <c r="AM42">
        <v>34415.769999999997</v>
      </c>
      <c r="AN42">
        <v>40480.57</v>
      </c>
      <c r="AO42">
        <v>2245.21</v>
      </c>
      <c r="AP42">
        <v>10004.719999999999</v>
      </c>
      <c r="AQ42">
        <v>43207.34</v>
      </c>
      <c r="AR42">
        <v>11147.08</v>
      </c>
      <c r="AS42">
        <v>12450.57</v>
      </c>
      <c r="AT42">
        <v>8957.11</v>
      </c>
      <c r="AU42" s="6">
        <v>8563.64</v>
      </c>
      <c r="AV42">
        <v>32978.519999999997</v>
      </c>
      <c r="AW42">
        <v>976.6</v>
      </c>
      <c r="AX42">
        <v>39866.870000000003</v>
      </c>
      <c r="AY42">
        <v>6902.58</v>
      </c>
      <c r="AZ42">
        <v>36928.99</v>
      </c>
      <c r="BA42">
        <v>13150.51</v>
      </c>
      <c r="BB42">
        <v>36647.129999999997</v>
      </c>
      <c r="BC42">
        <v>3909.09</v>
      </c>
      <c r="BD42">
        <v>1677.18</v>
      </c>
      <c r="BE42">
        <v>2534.13</v>
      </c>
      <c r="BF42">
        <v>1330</v>
      </c>
      <c r="BG42">
        <v>24970.52</v>
      </c>
      <c r="BH42">
        <v>28067.46</v>
      </c>
      <c r="BI42">
        <v>10599.03</v>
      </c>
      <c r="BJ42">
        <v>6292.97</v>
      </c>
      <c r="BK42">
        <v>47904.12</v>
      </c>
      <c r="BL42">
        <v>3763.11</v>
      </c>
      <c r="BM42">
        <v>1469.06</v>
      </c>
      <c r="BN42">
        <v>22820.12</v>
      </c>
      <c r="BO42">
        <v>7433.65</v>
      </c>
      <c r="BP42">
        <v>4201.74</v>
      </c>
      <c r="BQ42">
        <v>43597.62</v>
      </c>
      <c r="BR42">
        <v>17432.439999999999</v>
      </c>
      <c r="BS42">
        <v>9468.7000000000007</v>
      </c>
      <c r="BT42">
        <v>39728.300000000003</v>
      </c>
      <c r="BU42">
        <v>30538.29</v>
      </c>
      <c r="BV42">
        <v>35935.82</v>
      </c>
      <c r="BW42">
        <v>7162.67</v>
      </c>
      <c r="BX42">
        <v>8736.3700000000008</v>
      </c>
      <c r="BY42">
        <v>35919.61</v>
      </c>
      <c r="BZ42">
        <v>2379.2399999999998</v>
      </c>
      <c r="CA42">
        <v>2454.98</v>
      </c>
      <c r="CB42">
        <v>20374.490000000002</v>
      </c>
      <c r="CC42">
        <v>32095.5</v>
      </c>
      <c r="CD42">
        <v>63808.58</v>
      </c>
      <c r="CE42">
        <v>4016.89</v>
      </c>
      <c r="CF42">
        <v>17202.919999999998</v>
      </c>
      <c r="CG42">
        <v>718.6</v>
      </c>
      <c r="CH42">
        <v>11121.44</v>
      </c>
      <c r="CI42">
        <v>8229.07</v>
      </c>
      <c r="CJ42">
        <v>2309.02</v>
      </c>
      <c r="CK42">
        <v>86042.6</v>
      </c>
      <c r="CL42">
        <v>6184.34</v>
      </c>
      <c r="CM42">
        <v>1384.74</v>
      </c>
      <c r="CN42">
        <v>12144.82</v>
      </c>
      <c r="CO42">
        <v>14862.97</v>
      </c>
      <c r="CP42">
        <v>1736.06</v>
      </c>
      <c r="CQ42">
        <v>28514.1</v>
      </c>
      <c r="CR42">
        <v>3543.76</v>
      </c>
      <c r="CS42">
        <v>7306.19</v>
      </c>
      <c r="CT42">
        <v>942.73</v>
      </c>
      <c r="CU42">
        <v>3062.26</v>
      </c>
      <c r="CV42">
        <v>17293.740000000002</v>
      </c>
      <c r="CW42">
        <v>15058.69</v>
      </c>
      <c r="CX42">
        <v>964.36</v>
      </c>
      <c r="CY42">
        <v>20192.18</v>
      </c>
      <c r="CZ42">
        <v>8467.64</v>
      </c>
      <c r="DA42">
        <v>754.83</v>
      </c>
      <c r="DB42">
        <v>5220.41</v>
      </c>
      <c r="DC42">
        <v>3932.68</v>
      </c>
      <c r="DD42">
        <v>45548.93</v>
      </c>
      <c r="DE42">
        <v>57899.74</v>
      </c>
      <c r="DF42">
        <v>1807.27</v>
      </c>
      <c r="DG42">
        <v>31339.09</v>
      </c>
      <c r="DH42">
        <v>40304.730000000003</v>
      </c>
      <c r="DI42">
        <v>4062.05</v>
      </c>
      <c r="DJ42">
        <v>14707.23</v>
      </c>
      <c r="DK42">
        <v>9534.1</v>
      </c>
      <c r="DL42">
        <v>5433.37</v>
      </c>
      <c r="DM42">
        <v>21630.45</v>
      </c>
      <c r="DN42">
        <v>27934.47</v>
      </c>
      <c r="DO42">
        <v>6830.8</v>
      </c>
      <c r="DP42">
        <v>3975.5</v>
      </c>
      <c r="DQ42">
        <v>17196.47</v>
      </c>
      <c r="DR42">
        <v>1304.02</v>
      </c>
      <c r="DS42" s="6">
        <v>41481.99</v>
      </c>
      <c r="DT42">
        <v>3524.61</v>
      </c>
      <c r="DU42">
        <v>2728.88</v>
      </c>
      <c r="DV42">
        <v>69175.31</v>
      </c>
      <c r="DW42">
        <v>1110.32</v>
      </c>
      <c r="DX42">
        <v>6036.77</v>
      </c>
      <c r="DY42">
        <v>2633.36</v>
      </c>
      <c r="DZ42">
        <v>13594.87</v>
      </c>
      <c r="EA42">
        <v>42191.040000000001</v>
      </c>
      <c r="EB42">
        <v>7254.23</v>
      </c>
      <c r="EC42">
        <v>19294.46</v>
      </c>
      <c r="ED42">
        <v>5618.24</v>
      </c>
      <c r="EE42">
        <v>21224.69</v>
      </c>
      <c r="EF42">
        <v>1869.48</v>
      </c>
      <c r="EG42">
        <v>1213.3</v>
      </c>
      <c r="EH42">
        <v>13108.82</v>
      </c>
      <c r="EI42">
        <v>27624.75</v>
      </c>
      <c r="EJ42">
        <v>10463.64</v>
      </c>
      <c r="EK42">
        <v>17844.3</v>
      </c>
      <c r="EL42">
        <v>39949.449999999997</v>
      </c>
      <c r="EM42">
        <v>1899.76</v>
      </c>
      <c r="EN42">
        <v>1646.15</v>
      </c>
      <c r="EO42">
        <v>16436.830000000002</v>
      </c>
      <c r="EP42">
        <v>49907.13</v>
      </c>
      <c r="EQ42">
        <v>9375.35</v>
      </c>
      <c r="ER42">
        <v>15081.8</v>
      </c>
      <c r="ES42">
        <v>29276.06</v>
      </c>
      <c r="ET42">
        <v>4226.3500000000004</v>
      </c>
      <c r="EU42">
        <v>11538.16</v>
      </c>
      <c r="EV42">
        <v>3075.38</v>
      </c>
      <c r="EW42">
        <v>1479.67</v>
      </c>
    </row>
    <row r="43" spans="1:153" x14ac:dyDescent="0.35">
      <c r="A43">
        <v>2011</v>
      </c>
      <c r="B43">
        <v>37363.839999999997</v>
      </c>
      <c r="C43">
        <v>6828.92</v>
      </c>
      <c r="D43">
        <v>27013.4</v>
      </c>
      <c r="E43">
        <v>9598.56</v>
      </c>
      <c r="F43">
        <v>17235.43</v>
      </c>
      <c r="G43">
        <v>18365.2</v>
      </c>
      <c r="H43">
        <v>44117.7</v>
      </c>
      <c r="I43">
        <v>44873.89</v>
      </c>
      <c r="J43">
        <v>693.53</v>
      </c>
      <c r="K43">
        <v>42336.69</v>
      </c>
      <c r="L43">
        <v>1769.18</v>
      </c>
      <c r="M43">
        <v>1388.2</v>
      </c>
      <c r="N43">
        <v>2570.67</v>
      </c>
      <c r="O43">
        <v>15924.35</v>
      </c>
      <c r="P43">
        <v>42522.96</v>
      </c>
      <c r="Q43" s="6">
        <v>30619.43</v>
      </c>
      <c r="R43">
        <v>7732.23</v>
      </c>
      <c r="S43">
        <v>61206.94</v>
      </c>
      <c r="T43">
        <v>5576.75</v>
      </c>
      <c r="U43">
        <v>15019.91</v>
      </c>
      <c r="V43">
        <v>16184.27</v>
      </c>
      <c r="W43">
        <v>6598.87</v>
      </c>
      <c r="X43">
        <v>13908.67</v>
      </c>
      <c r="Y43">
        <v>917.03</v>
      </c>
      <c r="Z43">
        <v>41259.480000000003</v>
      </c>
      <c r="AA43">
        <v>56751.08</v>
      </c>
      <c r="AB43">
        <v>20700.759999999998</v>
      </c>
      <c r="AC43">
        <v>10249.06</v>
      </c>
      <c r="AD43">
        <v>2561.92</v>
      </c>
      <c r="AE43">
        <v>2771.54</v>
      </c>
      <c r="AF43">
        <v>675.57</v>
      </c>
      <c r="AG43">
        <v>5527.94</v>
      </c>
      <c r="AH43">
        <v>11583.98</v>
      </c>
      <c r="AI43">
        <v>2469.21</v>
      </c>
      <c r="AJ43">
        <v>5975.96</v>
      </c>
      <c r="AK43">
        <v>13320.64</v>
      </c>
      <c r="AL43" s="6">
        <v>53180.67</v>
      </c>
      <c r="AM43">
        <v>33334.58</v>
      </c>
      <c r="AN43">
        <v>42547.12</v>
      </c>
      <c r="AO43">
        <v>2403.7600000000002</v>
      </c>
      <c r="AP43">
        <v>10087.5</v>
      </c>
      <c r="AQ43">
        <v>43851.88</v>
      </c>
      <c r="AR43">
        <v>11247.73</v>
      </c>
      <c r="AS43">
        <v>13422.74</v>
      </c>
      <c r="AT43">
        <v>9833.58</v>
      </c>
      <c r="AU43" s="6">
        <v>9641.7900000000009</v>
      </c>
      <c r="AV43">
        <v>32448.53</v>
      </c>
      <c r="AW43">
        <v>1075.06</v>
      </c>
      <c r="AX43">
        <v>41382.93</v>
      </c>
      <c r="AY43">
        <v>7410.18</v>
      </c>
      <c r="AZ43">
        <v>37861.74</v>
      </c>
      <c r="BA43">
        <v>15253.33</v>
      </c>
      <c r="BB43">
        <v>36591.39</v>
      </c>
      <c r="BC43">
        <v>4506.8599999999997</v>
      </c>
      <c r="BD43">
        <v>1687.7</v>
      </c>
      <c r="BE43">
        <v>2251.1799999999998</v>
      </c>
      <c r="BF43">
        <v>1477.51</v>
      </c>
      <c r="BG43">
        <v>34364.620000000003</v>
      </c>
      <c r="BH43">
        <v>25408.29</v>
      </c>
      <c r="BI43">
        <v>10857.71</v>
      </c>
      <c r="BJ43">
        <v>6589.41</v>
      </c>
      <c r="BK43">
        <v>49544.74</v>
      </c>
      <c r="BL43">
        <v>3928.97</v>
      </c>
      <c r="BM43">
        <v>1515.63</v>
      </c>
      <c r="BN43">
        <v>23740.51</v>
      </c>
      <c r="BO43">
        <v>8876.31</v>
      </c>
      <c r="BP43">
        <v>4513.03</v>
      </c>
      <c r="BQ43">
        <v>44431.75</v>
      </c>
      <c r="BR43">
        <v>18347.41</v>
      </c>
      <c r="BS43">
        <v>12167.93</v>
      </c>
      <c r="BT43">
        <v>39990.76</v>
      </c>
      <c r="BU43">
        <v>31350.560000000001</v>
      </c>
      <c r="BV43">
        <v>36696.620000000003</v>
      </c>
      <c r="BW43">
        <v>7384.7</v>
      </c>
      <c r="BX43">
        <v>9120.36</v>
      </c>
      <c r="BY43">
        <v>35599.68</v>
      </c>
      <c r="BZ43">
        <v>2477.5300000000002</v>
      </c>
      <c r="CA43">
        <v>2607.94</v>
      </c>
      <c r="CB43">
        <v>21456.82</v>
      </c>
      <c r="CC43">
        <v>32293.85</v>
      </c>
      <c r="CD43">
        <v>75861.91</v>
      </c>
      <c r="CE43">
        <v>4635.2</v>
      </c>
      <c r="CF43">
        <v>15753.8</v>
      </c>
      <c r="CG43">
        <v>719.15</v>
      </c>
      <c r="CH43">
        <v>11901.45</v>
      </c>
      <c r="CI43">
        <v>8920.83</v>
      </c>
      <c r="CJ43">
        <v>2507.7399999999998</v>
      </c>
      <c r="CK43">
        <v>92324.38</v>
      </c>
      <c r="CL43">
        <v>6705.78</v>
      </c>
      <c r="CM43">
        <v>1459.22</v>
      </c>
      <c r="CN43">
        <v>13223.65</v>
      </c>
      <c r="CO43">
        <v>15777.24</v>
      </c>
      <c r="CP43">
        <v>1841.4</v>
      </c>
      <c r="CQ43">
        <v>28653.43</v>
      </c>
      <c r="CR43">
        <v>3885.48</v>
      </c>
      <c r="CS43">
        <v>8670.3799999999992</v>
      </c>
      <c r="CT43">
        <v>927.92</v>
      </c>
      <c r="CU43">
        <v>3156.09</v>
      </c>
      <c r="CV43">
        <v>17878.64</v>
      </c>
      <c r="CW43">
        <v>16517.73</v>
      </c>
      <c r="CX43">
        <v>1052.54</v>
      </c>
      <c r="CY43">
        <v>21750.07</v>
      </c>
      <c r="CZ43">
        <v>8976.76</v>
      </c>
      <c r="DA43">
        <v>768.59</v>
      </c>
      <c r="DB43">
        <v>5225.1499999999996</v>
      </c>
      <c r="DC43">
        <v>4062.68</v>
      </c>
      <c r="DD43">
        <v>46337.71</v>
      </c>
      <c r="DE43">
        <v>60559.16</v>
      </c>
      <c r="DF43">
        <v>1927.74</v>
      </c>
      <c r="DG43">
        <v>32041.21</v>
      </c>
      <c r="DH43">
        <v>44477.17</v>
      </c>
      <c r="DI43">
        <v>4351.09</v>
      </c>
      <c r="DJ43">
        <v>16436.240000000002</v>
      </c>
      <c r="DK43">
        <v>10373.23</v>
      </c>
      <c r="DL43">
        <v>5710.2</v>
      </c>
      <c r="DM43">
        <v>23036.240000000002</v>
      </c>
      <c r="DN43">
        <v>26809.84</v>
      </c>
      <c r="DO43">
        <v>7433.97</v>
      </c>
      <c r="DP43">
        <v>4355.1499999999996</v>
      </c>
      <c r="DQ43">
        <v>17883.560000000001</v>
      </c>
      <c r="DR43">
        <v>1430.4</v>
      </c>
      <c r="DS43" s="6">
        <v>52252.67</v>
      </c>
      <c r="DT43">
        <v>4204.92</v>
      </c>
      <c r="DU43">
        <v>2702.13</v>
      </c>
      <c r="DV43">
        <v>72151.22</v>
      </c>
      <c r="DW43">
        <v>1157.8599999999999</v>
      </c>
      <c r="DX43">
        <v>6359.27</v>
      </c>
      <c r="DY43">
        <v>2974.29</v>
      </c>
      <c r="DZ43">
        <v>14677.31</v>
      </c>
      <c r="EA43">
        <v>43648.35</v>
      </c>
      <c r="EB43">
        <v>7241.04</v>
      </c>
      <c r="EC43">
        <v>21383.78</v>
      </c>
      <c r="ED43">
        <v>5606.11</v>
      </c>
      <c r="EE43">
        <v>21538.82</v>
      </c>
      <c r="EF43">
        <v>1951.39</v>
      </c>
      <c r="EG43">
        <v>1259.92</v>
      </c>
      <c r="EH43">
        <v>13527.85</v>
      </c>
      <c r="EI43">
        <v>31431.48</v>
      </c>
      <c r="EJ43">
        <v>10165.92</v>
      </c>
      <c r="EK43">
        <v>19547.57</v>
      </c>
      <c r="EL43">
        <v>40531.870000000003</v>
      </c>
      <c r="EM43">
        <v>2032.73</v>
      </c>
      <c r="EN43">
        <v>1729.01</v>
      </c>
      <c r="EO43">
        <v>17976.73</v>
      </c>
      <c r="EP43">
        <v>50229.279999999999</v>
      </c>
      <c r="EQ43">
        <v>9401.99</v>
      </c>
      <c r="ER43">
        <v>16765.560000000001</v>
      </c>
      <c r="ES43">
        <v>28373.03</v>
      </c>
      <c r="ET43">
        <v>4556.3100000000004</v>
      </c>
      <c r="EU43">
        <v>11961.34</v>
      </c>
      <c r="EV43">
        <v>3367.48</v>
      </c>
      <c r="EW43">
        <v>1608.96</v>
      </c>
    </row>
    <row r="44" spans="1:153" x14ac:dyDescent="0.35">
      <c r="A44">
        <v>2012</v>
      </c>
      <c r="B44">
        <v>36786.21</v>
      </c>
      <c r="C44">
        <v>6918.86</v>
      </c>
      <c r="D44">
        <v>25310.15</v>
      </c>
      <c r="E44">
        <v>9918.49</v>
      </c>
      <c r="F44">
        <v>16966.939999999999</v>
      </c>
      <c r="G44">
        <v>18680.490000000002</v>
      </c>
      <c r="H44">
        <v>44577.82</v>
      </c>
      <c r="I44">
        <v>46441.51</v>
      </c>
      <c r="J44">
        <v>714.48</v>
      </c>
      <c r="K44">
        <v>43129.14</v>
      </c>
      <c r="L44">
        <v>1818.82</v>
      </c>
      <c r="M44">
        <v>1447.59</v>
      </c>
      <c r="N44">
        <v>2677.45</v>
      </c>
      <c r="O44">
        <v>16129.08</v>
      </c>
      <c r="P44">
        <v>40729.040000000001</v>
      </c>
      <c r="Q44" s="6">
        <v>31180.880000000001</v>
      </c>
      <c r="R44">
        <v>7905.07</v>
      </c>
      <c r="S44">
        <v>59344.78</v>
      </c>
      <c r="T44">
        <v>5860.16</v>
      </c>
      <c r="U44">
        <v>15048.78</v>
      </c>
      <c r="V44">
        <v>15593.48</v>
      </c>
      <c r="W44">
        <v>6429.64</v>
      </c>
      <c r="X44">
        <v>13666.23</v>
      </c>
      <c r="Y44">
        <v>946.34</v>
      </c>
      <c r="Z44">
        <v>41941.07</v>
      </c>
      <c r="AA44">
        <v>58079.39</v>
      </c>
      <c r="AB44">
        <v>21606.32</v>
      </c>
      <c r="AC44">
        <v>10596.49</v>
      </c>
      <c r="AD44">
        <v>2678.32</v>
      </c>
      <c r="AE44">
        <v>2834.55</v>
      </c>
      <c r="AF44">
        <v>748.9</v>
      </c>
      <c r="AG44">
        <v>5526.76</v>
      </c>
      <c r="AH44">
        <v>11933.88</v>
      </c>
      <c r="AI44">
        <v>2573.5</v>
      </c>
      <c r="AJ44">
        <v>6003.36</v>
      </c>
      <c r="AK44">
        <v>13809.56</v>
      </c>
      <c r="AL44" s="6">
        <v>52951.839999999997</v>
      </c>
      <c r="AM44">
        <v>31840.959999999999</v>
      </c>
      <c r="AN44">
        <v>42911.82</v>
      </c>
      <c r="AO44">
        <v>2472.4299999999998</v>
      </c>
      <c r="AP44">
        <v>9923.31</v>
      </c>
      <c r="AQ44">
        <v>43646.83</v>
      </c>
      <c r="AR44">
        <v>11466.76</v>
      </c>
      <c r="AS44">
        <v>13546.97</v>
      </c>
      <c r="AT44">
        <v>10168.4</v>
      </c>
      <c r="AU44" s="6">
        <v>9632.15</v>
      </c>
      <c r="AV44">
        <v>32078.49</v>
      </c>
      <c r="AW44">
        <v>1147.5</v>
      </c>
      <c r="AX44">
        <v>40823.78</v>
      </c>
      <c r="AY44">
        <v>7454.97</v>
      </c>
      <c r="AZ44">
        <v>37608.25</v>
      </c>
      <c r="BA44">
        <v>15204.66</v>
      </c>
      <c r="BB44">
        <v>37255.800000000003</v>
      </c>
      <c r="BC44">
        <v>4704.13</v>
      </c>
      <c r="BD44">
        <v>1804.04</v>
      </c>
      <c r="BE44">
        <v>2303.2600000000002</v>
      </c>
      <c r="BF44">
        <v>1309</v>
      </c>
      <c r="BG44">
        <v>35490.82</v>
      </c>
      <c r="BH44">
        <v>24137.96</v>
      </c>
      <c r="BI44">
        <v>10690.85</v>
      </c>
      <c r="BJ44">
        <v>6628.64</v>
      </c>
      <c r="BK44">
        <v>49764.71</v>
      </c>
      <c r="BL44">
        <v>3972.65</v>
      </c>
      <c r="BM44">
        <v>1503.61</v>
      </c>
      <c r="BN44">
        <v>23669.55</v>
      </c>
      <c r="BO44">
        <v>9104.4699999999993</v>
      </c>
      <c r="BP44">
        <v>4717.79</v>
      </c>
      <c r="BQ44">
        <v>46133.62</v>
      </c>
      <c r="BR44">
        <v>15881.32</v>
      </c>
      <c r="BS44">
        <v>13247.58</v>
      </c>
      <c r="BT44">
        <v>40483.71</v>
      </c>
      <c r="BU44">
        <v>32381.91</v>
      </c>
      <c r="BV44">
        <v>36266.03</v>
      </c>
      <c r="BW44">
        <v>7317.26</v>
      </c>
      <c r="BX44">
        <v>8960.76</v>
      </c>
      <c r="BY44">
        <v>36430.39</v>
      </c>
      <c r="BZ44">
        <v>2577.65</v>
      </c>
      <c r="CA44">
        <v>2771.33</v>
      </c>
      <c r="CB44">
        <v>21606.92</v>
      </c>
      <c r="CC44">
        <v>32445.32</v>
      </c>
      <c r="CD44">
        <v>78921.14</v>
      </c>
      <c r="CE44">
        <v>4692.55</v>
      </c>
      <c r="CF44">
        <v>15597.96</v>
      </c>
      <c r="CG44">
        <v>776.38</v>
      </c>
      <c r="CH44">
        <v>11810.23</v>
      </c>
      <c r="CI44">
        <v>9653.17</v>
      </c>
      <c r="CJ44">
        <v>2525.86</v>
      </c>
      <c r="CK44">
        <v>91415.93</v>
      </c>
      <c r="CL44">
        <v>6814.45</v>
      </c>
      <c r="CM44">
        <v>1489.25</v>
      </c>
      <c r="CN44">
        <v>13444.05</v>
      </c>
      <c r="CO44">
        <v>16391.32</v>
      </c>
      <c r="CP44">
        <v>1972.09</v>
      </c>
      <c r="CQ44">
        <v>29273.03</v>
      </c>
      <c r="CR44">
        <v>4272.54</v>
      </c>
      <c r="CS44">
        <v>9837.1200000000008</v>
      </c>
      <c r="CT44">
        <v>969.89</v>
      </c>
      <c r="CU44">
        <v>2934.04</v>
      </c>
      <c r="CV44">
        <v>18644.77</v>
      </c>
      <c r="CW44">
        <v>16683.57</v>
      </c>
      <c r="CX44">
        <v>972.17</v>
      </c>
      <c r="CY44">
        <v>22309.81</v>
      </c>
      <c r="CZ44">
        <v>9737.9699999999993</v>
      </c>
      <c r="DA44">
        <v>831.85</v>
      </c>
      <c r="DB44">
        <v>5640.7</v>
      </c>
      <c r="DC44">
        <v>4245.29</v>
      </c>
      <c r="DD44">
        <v>46311.71</v>
      </c>
      <c r="DE44">
        <v>63298.559999999998</v>
      </c>
      <c r="DF44">
        <v>2025.82</v>
      </c>
      <c r="DG44">
        <v>32509</v>
      </c>
      <c r="DH44">
        <v>47333.919999999998</v>
      </c>
      <c r="DI44">
        <v>4349.9799999999996</v>
      </c>
      <c r="DJ44">
        <v>17495.47</v>
      </c>
      <c r="DK44">
        <v>10742.37</v>
      </c>
      <c r="DL44">
        <v>5935.02</v>
      </c>
      <c r="DM44">
        <v>23863.07</v>
      </c>
      <c r="DN44">
        <v>26149.59</v>
      </c>
      <c r="DO44">
        <v>7405.46</v>
      </c>
      <c r="DP44">
        <v>4608.2299999999996</v>
      </c>
      <c r="DQ44">
        <v>18814.75</v>
      </c>
      <c r="DR44">
        <v>1507.09</v>
      </c>
      <c r="DS44" s="6">
        <v>53258.21</v>
      </c>
      <c r="DT44">
        <v>3866.8</v>
      </c>
      <c r="DU44">
        <v>2701.57</v>
      </c>
      <c r="DV44">
        <v>73158.52</v>
      </c>
      <c r="DW44">
        <v>1336.13</v>
      </c>
      <c r="DX44">
        <v>6493.48</v>
      </c>
      <c r="DY44">
        <v>3007.81</v>
      </c>
      <c r="DZ44">
        <v>14946.46</v>
      </c>
      <c r="EA44">
        <v>43884.11</v>
      </c>
      <c r="EB44">
        <v>7448.49</v>
      </c>
      <c r="EC44">
        <v>22113.86</v>
      </c>
      <c r="ED44">
        <v>4756.6099999999997</v>
      </c>
      <c r="EE44">
        <v>20368.55</v>
      </c>
      <c r="EF44">
        <v>1937.09</v>
      </c>
      <c r="EG44">
        <v>1303.0999999999999</v>
      </c>
      <c r="EH44">
        <v>14313.67</v>
      </c>
      <c r="EI44">
        <v>31556.94</v>
      </c>
      <c r="EJ44">
        <v>10368.57</v>
      </c>
      <c r="EK44">
        <v>20620.12</v>
      </c>
      <c r="EL44">
        <v>40967.51</v>
      </c>
      <c r="EM44">
        <v>2053.8000000000002</v>
      </c>
      <c r="EN44">
        <v>1725.91</v>
      </c>
      <c r="EO44">
        <v>18674.91</v>
      </c>
      <c r="EP44">
        <v>51150.55</v>
      </c>
      <c r="EQ44">
        <v>9158.8700000000008</v>
      </c>
      <c r="ER44">
        <v>16827.53</v>
      </c>
      <c r="ES44">
        <v>26462.080000000002</v>
      </c>
      <c r="ET44">
        <v>4916.68</v>
      </c>
      <c r="EU44">
        <v>11964.98</v>
      </c>
      <c r="EV44">
        <v>3515.05</v>
      </c>
      <c r="EW44">
        <v>1777.2</v>
      </c>
    </row>
    <row r="45" spans="1:153" x14ac:dyDescent="0.35">
      <c r="A45">
        <v>2013</v>
      </c>
      <c r="B45">
        <v>37494.81</v>
      </c>
      <c r="C45">
        <v>6779.48</v>
      </c>
      <c r="D45">
        <v>24751.63</v>
      </c>
      <c r="E45">
        <v>9744.5400000000009</v>
      </c>
      <c r="F45">
        <v>17105.419999999998</v>
      </c>
      <c r="G45">
        <v>18465.61</v>
      </c>
      <c r="H45">
        <v>45677.05</v>
      </c>
      <c r="I45">
        <v>46548.54</v>
      </c>
      <c r="J45">
        <v>746.9</v>
      </c>
      <c r="K45">
        <v>42818.5</v>
      </c>
      <c r="L45">
        <v>1884.69</v>
      </c>
      <c r="M45">
        <v>1455.14</v>
      </c>
      <c r="N45">
        <v>2803.79</v>
      </c>
      <c r="O45">
        <v>16213.63</v>
      </c>
      <c r="P45">
        <v>44281.07</v>
      </c>
      <c r="Q45" s="6">
        <v>30117.040000000001</v>
      </c>
      <c r="R45">
        <v>7831.52</v>
      </c>
      <c r="S45">
        <v>59686.35</v>
      </c>
      <c r="T45">
        <v>6064.79</v>
      </c>
      <c r="U45">
        <v>15316.65</v>
      </c>
      <c r="V45">
        <v>14889.74</v>
      </c>
      <c r="W45">
        <v>7410.38</v>
      </c>
      <c r="X45">
        <v>15086.24</v>
      </c>
      <c r="Y45">
        <v>600.78</v>
      </c>
      <c r="Z45">
        <v>43170.91</v>
      </c>
      <c r="AA45">
        <v>58538.03</v>
      </c>
      <c r="AB45">
        <v>22291.56</v>
      </c>
      <c r="AC45">
        <v>11188.59</v>
      </c>
      <c r="AD45">
        <v>2841.61</v>
      </c>
      <c r="AE45">
        <v>2922.97</v>
      </c>
      <c r="AF45">
        <v>807.97</v>
      </c>
      <c r="AG45">
        <v>4693.68</v>
      </c>
      <c r="AH45">
        <v>12309.14</v>
      </c>
      <c r="AI45">
        <v>2733.56</v>
      </c>
      <c r="AJ45">
        <v>6067.45</v>
      </c>
      <c r="AK45">
        <v>14028.99</v>
      </c>
      <c r="AL45" s="6">
        <v>52851.06</v>
      </c>
      <c r="AM45">
        <v>29695.279999999999</v>
      </c>
      <c r="AN45">
        <v>43402.22</v>
      </c>
      <c r="AO45">
        <v>2669.28</v>
      </c>
      <c r="AP45">
        <v>9832.6200000000008</v>
      </c>
      <c r="AQ45">
        <v>43948.18</v>
      </c>
      <c r="AR45">
        <v>11866.47</v>
      </c>
      <c r="AS45">
        <v>13097.25</v>
      </c>
      <c r="AT45">
        <v>10536.02</v>
      </c>
      <c r="AU45" s="6">
        <v>9745.51</v>
      </c>
      <c r="AV45">
        <v>31832.6</v>
      </c>
      <c r="AW45">
        <v>1247.6500000000001</v>
      </c>
      <c r="AX45">
        <v>40089.86</v>
      </c>
      <c r="AY45">
        <v>7834.41</v>
      </c>
      <c r="AZ45">
        <v>38327.42</v>
      </c>
      <c r="BA45">
        <v>14765.56</v>
      </c>
      <c r="BB45">
        <v>38221.79</v>
      </c>
      <c r="BC45">
        <v>4910.43</v>
      </c>
      <c r="BD45">
        <v>1874.38</v>
      </c>
      <c r="BE45">
        <v>2391.08</v>
      </c>
      <c r="BF45">
        <v>1315.04</v>
      </c>
      <c r="BG45">
        <v>30734.47</v>
      </c>
      <c r="BH45">
        <v>24149.279999999999</v>
      </c>
      <c r="BI45">
        <v>10912.04</v>
      </c>
      <c r="BJ45">
        <v>6713.15</v>
      </c>
      <c r="BK45">
        <v>51218.51</v>
      </c>
      <c r="BL45">
        <v>3903.07</v>
      </c>
      <c r="BM45">
        <v>1565.13</v>
      </c>
      <c r="BN45">
        <v>24290.75</v>
      </c>
      <c r="BO45">
        <v>9460.41</v>
      </c>
      <c r="BP45">
        <v>4975.78</v>
      </c>
      <c r="BQ45">
        <v>46371</v>
      </c>
      <c r="BR45">
        <v>15962.19</v>
      </c>
      <c r="BS45">
        <v>15919.04</v>
      </c>
      <c r="BT45">
        <v>41230.22</v>
      </c>
      <c r="BU45">
        <v>34018.53</v>
      </c>
      <c r="BV45">
        <v>35655.61</v>
      </c>
      <c r="BW45">
        <v>7264.52</v>
      </c>
      <c r="BX45">
        <v>8694.4</v>
      </c>
      <c r="BY45">
        <v>37265.67</v>
      </c>
      <c r="BZ45">
        <v>2652.37</v>
      </c>
      <c r="CA45">
        <v>2967.66</v>
      </c>
      <c r="CB45">
        <v>22764.28</v>
      </c>
      <c r="CC45">
        <v>33017.19</v>
      </c>
      <c r="CD45">
        <v>73089.97</v>
      </c>
      <c r="CE45">
        <v>5168.18</v>
      </c>
      <c r="CF45">
        <v>15189.79</v>
      </c>
      <c r="CG45">
        <v>776.49</v>
      </c>
      <c r="CH45">
        <v>11590.05</v>
      </c>
      <c r="CI45">
        <v>10128.620000000001</v>
      </c>
      <c r="CJ45">
        <v>2616.4299999999998</v>
      </c>
      <c r="CK45">
        <v>90457.49</v>
      </c>
      <c r="CL45">
        <v>7107.38</v>
      </c>
      <c r="CM45">
        <v>1475.67</v>
      </c>
      <c r="CN45">
        <v>14605.35</v>
      </c>
      <c r="CO45">
        <v>16705.96</v>
      </c>
      <c r="CP45">
        <v>1966.63</v>
      </c>
      <c r="CQ45">
        <v>30370.29</v>
      </c>
      <c r="CR45">
        <v>4724.25</v>
      </c>
      <c r="CS45">
        <v>10608.52</v>
      </c>
      <c r="CT45">
        <v>1078.22</v>
      </c>
      <c r="CU45">
        <v>3134.4</v>
      </c>
      <c r="CV45">
        <v>18911.04</v>
      </c>
      <c r="CW45">
        <v>17842.27</v>
      </c>
      <c r="CX45">
        <v>932.37</v>
      </c>
      <c r="CY45">
        <v>22719.11</v>
      </c>
      <c r="CZ45">
        <v>10187.25</v>
      </c>
      <c r="DA45">
        <v>845.49</v>
      </c>
      <c r="DB45">
        <v>5439.33</v>
      </c>
      <c r="DC45">
        <v>4354.93</v>
      </c>
      <c r="DD45">
        <v>46745.89</v>
      </c>
      <c r="DE45">
        <v>63768.31</v>
      </c>
      <c r="DF45">
        <v>2067.39</v>
      </c>
      <c r="DG45">
        <v>34349.699999999997</v>
      </c>
      <c r="DH45">
        <v>44979.18</v>
      </c>
      <c r="DI45">
        <v>4443.6499999999996</v>
      </c>
      <c r="DJ45">
        <v>18667.689999999999</v>
      </c>
      <c r="DK45">
        <v>11017.94</v>
      </c>
      <c r="DL45">
        <v>6330.65</v>
      </c>
      <c r="DM45">
        <v>24150.36</v>
      </c>
      <c r="DN45">
        <v>26856.959999999999</v>
      </c>
      <c r="DO45">
        <v>8069.16</v>
      </c>
      <c r="DP45">
        <v>4417.2700000000004</v>
      </c>
      <c r="DQ45">
        <v>19386.61</v>
      </c>
      <c r="DR45">
        <v>1551.06</v>
      </c>
      <c r="DS45" s="6">
        <v>51132.88</v>
      </c>
      <c r="DT45">
        <v>3776.22</v>
      </c>
      <c r="DU45">
        <v>2790.04</v>
      </c>
      <c r="DV45">
        <v>74041.13</v>
      </c>
      <c r="DW45">
        <v>1514.38</v>
      </c>
      <c r="DX45">
        <v>6566.36</v>
      </c>
      <c r="DY45">
        <v>3176.77</v>
      </c>
      <c r="DZ45">
        <v>15265.44</v>
      </c>
      <c r="EA45">
        <v>43538.19</v>
      </c>
      <c r="EB45">
        <v>7719.47</v>
      </c>
      <c r="EC45">
        <v>26956.97</v>
      </c>
      <c r="ED45">
        <v>4028.54</v>
      </c>
      <c r="EE45">
        <v>20563.63</v>
      </c>
      <c r="EF45">
        <v>1928.89</v>
      </c>
      <c r="EG45">
        <v>1335.65</v>
      </c>
      <c r="EH45">
        <v>14661.58</v>
      </c>
      <c r="EI45">
        <v>38180.57</v>
      </c>
      <c r="EJ45">
        <v>10545.82</v>
      </c>
      <c r="EK45">
        <v>21770.43</v>
      </c>
      <c r="EL45">
        <v>42393.59</v>
      </c>
      <c r="EM45">
        <v>2080.65</v>
      </c>
      <c r="EN45">
        <v>1758.94</v>
      </c>
      <c r="EO45">
        <v>19638.95</v>
      </c>
      <c r="EP45">
        <v>51959.73</v>
      </c>
      <c r="EQ45">
        <v>9210.8700000000008</v>
      </c>
      <c r="ER45">
        <v>15421.76</v>
      </c>
      <c r="ES45">
        <v>27310.86</v>
      </c>
      <c r="ET45">
        <v>5094.7</v>
      </c>
      <c r="EU45">
        <v>12030.99</v>
      </c>
      <c r="EV45">
        <v>3584.72</v>
      </c>
      <c r="EW45">
        <v>1865.68</v>
      </c>
    </row>
    <row r="46" spans="1:153" x14ac:dyDescent="0.35">
      <c r="A46">
        <v>2014</v>
      </c>
      <c r="B46">
        <v>37491.519999999997</v>
      </c>
      <c r="C46">
        <v>6383.43</v>
      </c>
      <c r="D46">
        <v>26002.41</v>
      </c>
      <c r="E46">
        <v>10211.93</v>
      </c>
      <c r="F46">
        <v>16393.560000000001</v>
      </c>
      <c r="G46">
        <v>16295.33</v>
      </c>
      <c r="H46">
        <v>46029.8</v>
      </c>
      <c r="I46">
        <v>46669.41</v>
      </c>
      <c r="J46">
        <v>761.67</v>
      </c>
      <c r="K46">
        <v>42885.120000000003</v>
      </c>
      <c r="L46">
        <v>1976.48</v>
      </c>
      <c r="M46">
        <v>1504.91</v>
      </c>
      <c r="N46">
        <v>2924.71</v>
      </c>
      <c r="O46">
        <v>16796.13</v>
      </c>
      <c r="P46">
        <v>44014.96</v>
      </c>
      <c r="Q46" s="6">
        <v>29956.63</v>
      </c>
      <c r="R46">
        <v>7913.97</v>
      </c>
      <c r="S46">
        <v>59706.66</v>
      </c>
      <c r="T46">
        <v>6014.07</v>
      </c>
      <c r="U46">
        <v>15146.13</v>
      </c>
      <c r="V46">
        <v>14405.49</v>
      </c>
      <c r="W46">
        <v>7127.26</v>
      </c>
      <c r="X46">
        <v>15907.8</v>
      </c>
      <c r="Y46">
        <v>609.05999999999995</v>
      </c>
      <c r="Z46">
        <v>44362.81</v>
      </c>
      <c r="AA46">
        <v>59583.91</v>
      </c>
      <c r="AB46">
        <v>22993.74</v>
      </c>
      <c r="AC46">
        <v>11745.11</v>
      </c>
      <c r="AD46">
        <v>3038.02</v>
      </c>
      <c r="AE46">
        <v>3007.59</v>
      </c>
      <c r="AF46">
        <v>832.09</v>
      </c>
      <c r="AG46">
        <v>4929.3500000000004</v>
      </c>
      <c r="AH46">
        <v>12551.27</v>
      </c>
      <c r="AI46">
        <v>2803.26</v>
      </c>
      <c r="AJ46">
        <v>6020.55</v>
      </c>
      <c r="AK46">
        <v>14436.79</v>
      </c>
      <c r="AL46" s="6">
        <v>53519.27</v>
      </c>
      <c r="AM46">
        <v>29148.87</v>
      </c>
      <c r="AN46">
        <v>44504.33</v>
      </c>
      <c r="AO46">
        <v>2863.13</v>
      </c>
      <c r="AP46">
        <v>10209.709999999999</v>
      </c>
      <c r="AQ46">
        <v>43995.9</v>
      </c>
      <c r="AR46">
        <v>12570.9</v>
      </c>
      <c r="AS46">
        <v>12744.06</v>
      </c>
      <c r="AT46">
        <v>10811.7</v>
      </c>
      <c r="AU46" s="6">
        <v>9800.33</v>
      </c>
      <c r="AV46">
        <v>32409.16</v>
      </c>
      <c r="AW46">
        <v>1357.12</v>
      </c>
      <c r="AX46">
        <v>39335.18</v>
      </c>
      <c r="AY46">
        <v>8213.73</v>
      </c>
      <c r="AZ46">
        <v>38161.01</v>
      </c>
      <c r="BA46">
        <v>13492.24</v>
      </c>
      <c r="BB46">
        <v>38997.24</v>
      </c>
      <c r="BC46">
        <v>5091.88</v>
      </c>
      <c r="BD46">
        <v>1873.48</v>
      </c>
      <c r="BE46">
        <v>2310.64</v>
      </c>
      <c r="BF46">
        <v>1357.55</v>
      </c>
      <c r="BG46">
        <v>28215.93</v>
      </c>
      <c r="BH46">
        <v>24377.78</v>
      </c>
      <c r="BI46">
        <v>11633.58</v>
      </c>
      <c r="BJ46">
        <v>6901.07</v>
      </c>
      <c r="BK46">
        <v>52148.92</v>
      </c>
      <c r="BL46">
        <v>4042.34</v>
      </c>
      <c r="BM46">
        <v>1579.16</v>
      </c>
      <c r="BN46">
        <v>24779.59</v>
      </c>
      <c r="BO46">
        <v>9709.5499999999993</v>
      </c>
      <c r="BP46">
        <v>5214.8</v>
      </c>
      <c r="BQ46">
        <v>49497.03</v>
      </c>
      <c r="BR46">
        <v>15786.36</v>
      </c>
      <c r="BS46">
        <v>15719.15</v>
      </c>
      <c r="BT46">
        <v>42065.53</v>
      </c>
      <c r="BU46">
        <v>35534.32</v>
      </c>
      <c r="BV46">
        <v>35364.5</v>
      </c>
      <c r="BW46">
        <v>7233.93</v>
      </c>
      <c r="BX46">
        <v>8512.1</v>
      </c>
      <c r="BY46">
        <v>37624.559999999998</v>
      </c>
      <c r="BZ46">
        <v>2679.9</v>
      </c>
      <c r="CA46">
        <v>3009.17</v>
      </c>
      <c r="CB46">
        <v>23824.61</v>
      </c>
      <c r="CC46">
        <v>33533.620000000003</v>
      </c>
      <c r="CD46">
        <v>63889.84</v>
      </c>
      <c r="CE46">
        <v>5484.75</v>
      </c>
      <c r="CF46">
        <v>14636.72</v>
      </c>
      <c r="CG46">
        <v>830.84</v>
      </c>
      <c r="CH46">
        <v>11995.67</v>
      </c>
      <c r="CI46">
        <v>10722.26</v>
      </c>
      <c r="CJ46">
        <v>2802.75</v>
      </c>
      <c r="CK46">
        <v>94958.26</v>
      </c>
      <c r="CL46">
        <v>7313.87</v>
      </c>
      <c r="CM46">
        <v>1499.19</v>
      </c>
      <c r="CN46">
        <v>15252.38</v>
      </c>
      <c r="CO46">
        <v>17652.02</v>
      </c>
      <c r="CP46">
        <v>1968.36</v>
      </c>
      <c r="CQ46">
        <v>32225.35</v>
      </c>
      <c r="CR46">
        <v>5063.17</v>
      </c>
      <c r="CS46">
        <v>11491.4</v>
      </c>
      <c r="CT46">
        <v>1169.31</v>
      </c>
      <c r="CU46">
        <v>2914.12</v>
      </c>
      <c r="CV46">
        <v>19329.64</v>
      </c>
      <c r="CW46">
        <v>18612.66</v>
      </c>
      <c r="CX46">
        <v>1014.17</v>
      </c>
      <c r="CY46">
        <v>23715.42</v>
      </c>
      <c r="CZ46">
        <v>10815.82</v>
      </c>
      <c r="DA46">
        <v>869.3</v>
      </c>
      <c r="DB46">
        <v>5437.6</v>
      </c>
      <c r="DC46">
        <v>4611.08</v>
      </c>
      <c r="DD46">
        <v>45510.43</v>
      </c>
      <c r="DE46">
        <v>61909.58</v>
      </c>
      <c r="DF46">
        <v>2182.7600000000002</v>
      </c>
      <c r="DG46">
        <v>35705.9</v>
      </c>
      <c r="DH46">
        <v>40855.040000000001</v>
      </c>
      <c r="DI46">
        <v>4575.49</v>
      </c>
      <c r="DJ46">
        <v>19326.189999999999</v>
      </c>
      <c r="DK46">
        <v>11086.07</v>
      </c>
      <c r="DL46">
        <v>6579.17</v>
      </c>
      <c r="DM46">
        <v>24486.63</v>
      </c>
      <c r="DN46">
        <v>27202.55</v>
      </c>
      <c r="DO46">
        <v>8141.14</v>
      </c>
      <c r="DP46">
        <v>4280.3</v>
      </c>
      <c r="DQ46">
        <v>19799.62</v>
      </c>
      <c r="DR46">
        <v>1644.91</v>
      </c>
      <c r="DS46" s="6">
        <v>48634.65</v>
      </c>
      <c r="DT46">
        <v>3972.7</v>
      </c>
      <c r="DU46">
        <v>2851.85</v>
      </c>
      <c r="DV46">
        <v>74389.119999999995</v>
      </c>
      <c r="DW46">
        <v>1355.57</v>
      </c>
      <c r="DX46">
        <v>6654.06</v>
      </c>
      <c r="DY46">
        <v>3188.93</v>
      </c>
      <c r="DZ46">
        <v>15110.66</v>
      </c>
      <c r="EA46">
        <v>43452.32</v>
      </c>
      <c r="EB46">
        <v>7694.36</v>
      </c>
      <c r="EC46">
        <v>25861.79</v>
      </c>
      <c r="ED46">
        <v>4184.3599999999997</v>
      </c>
      <c r="EE46">
        <v>21664.41</v>
      </c>
      <c r="EF46">
        <v>1575.09</v>
      </c>
      <c r="EG46">
        <v>1393.37</v>
      </c>
      <c r="EH46">
        <v>14736.2</v>
      </c>
      <c r="EI46">
        <v>41995.83</v>
      </c>
      <c r="EJ46">
        <v>10520.6</v>
      </c>
      <c r="EK46">
        <v>23275.99</v>
      </c>
      <c r="EL46">
        <v>44465.93</v>
      </c>
      <c r="EM46">
        <v>2240.71</v>
      </c>
      <c r="EN46">
        <v>1788.48</v>
      </c>
      <c r="EO46">
        <v>20208.78</v>
      </c>
      <c r="EP46">
        <v>53024.55</v>
      </c>
      <c r="EQ46">
        <v>9587.74</v>
      </c>
      <c r="ER46">
        <v>12858.34</v>
      </c>
      <c r="ES46">
        <v>27174.639999999999</v>
      </c>
      <c r="ET46">
        <v>5351.63</v>
      </c>
      <c r="EU46">
        <v>12034.06</v>
      </c>
      <c r="EV46">
        <v>3646.84</v>
      </c>
      <c r="EW46">
        <v>1895.81</v>
      </c>
    </row>
    <row r="47" spans="1:153" x14ac:dyDescent="0.35">
      <c r="A47">
        <v>2015</v>
      </c>
      <c r="B47">
        <v>37996.18</v>
      </c>
      <c r="C47">
        <v>5297.59</v>
      </c>
      <c r="D47">
        <v>26765.34</v>
      </c>
      <c r="E47">
        <v>10775.75</v>
      </c>
      <c r="F47">
        <v>16673.55</v>
      </c>
      <c r="G47">
        <v>17053.48</v>
      </c>
      <c r="H47">
        <v>45658.83</v>
      </c>
      <c r="I47">
        <v>48630.78</v>
      </c>
      <c r="J47">
        <v>734.56</v>
      </c>
      <c r="K47">
        <v>44425.23</v>
      </c>
      <c r="L47">
        <v>1984.55</v>
      </c>
      <c r="M47">
        <v>1528.43</v>
      </c>
      <c r="N47">
        <v>3069.37</v>
      </c>
      <c r="O47">
        <v>17796.54</v>
      </c>
      <c r="P47">
        <v>39770.74</v>
      </c>
      <c r="Q47" s="6">
        <v>29235.48</v>
      </c>
      <c r="R47">
        <v>8159.59</v>
      </c>
      <c r="S47">
        <v>61575.61</v>
      </c>
      <c r="T47">
        <v>5776.38</v>
      </c>
      <c r="U47">
        <v>14450.07</v>
      </c>
      <c r="V47">
        <v>14639.83</v>
      </c>
      <c r="W47">
        <v>7447.23</v>
      </c>
      <c r="X47">
        <v>15578.43</v>
      </c>
      <c r="Y47">
        <v>673.86</v>
      </c>
      <c r="Z47">
        <v>43222.99</v>
      </c>
      <c r="AA47">
        <v>61787.31</v>
      </c>
      <c r="AB47">
        <v>22979.8</v>
      </c>
      <c r="AC47">
        <v>12034.49</v>
      </c>
      <c r="AD47">
        <v>3299.69</v>
      </c>
      <c r="AE47">
        <v>3048.42</v>
      </c>
      <c r="AF47">
        <v>844.14</v>
      </c>
      <c r="AG47">
        <v>3742.83</v>
      </c>
      <c r="AH47">
        <v>12509.3</v>
      </c>
      <c r="AI47">
        <v>2814.99</v>
      </c>
      <c r="AJ47">
        <v>6135.58</v>
      </c>
      <c r="AK47">
        <v>15158.85</v>
      </c>
      <c r="AL47" s="6">
        <v>54311.26</v>
      </c>
      <c r="AM47">
        <v>30849.18</v>
      </c>
      <c r="AN47">
        <v>45995.23</v>
      </c>
      <c r="AO47">
        <v>2909.9</v>
      </c>
      <c r="AP47">
        <v>9961.24</v>
      </c>
      <c r="AQ47">
        <v>45765.62</v>
      </c>
      <c r="AR47">
        <v>13567.59</v>
      </c>
      <c r="AS47">
        <v>11697.4</v>
      </c>
      <c r="AT47">
        <v>10318.379999999999</v>
      </c>
      <c r="AU47" s="6">
        <v>10002.030000000001</v>
      </c>
      <c r="AV47">
        <v>34268.42</v>
      </c>
      <c r="AW47">
        <v>1450.53</v>
      </c>
      <c r="AX47">
        <v>40421.86</v>
      </c>
      <c r="AY47">
        <v>8491.14</v>
      </c>
      <c r="AZ47">
        <v>39247.26</v>
      </c>
      <c r="BA47">
        <v>12813.43</v>
      </c>
      <c r="BB47">
        <v>40705.4</v>
      </c>
      <c r="BC47">
        <v>4875.04</v>
      </c>
      <c r="BD47">
        <v>1881.11</v>
      </c>
      <c r="BE47">
        <v>2390.46</v>
      </c>
      <c r="BF47">
        <v>1515.24</v>
      </c>
      <c r="BG47">
        <v>19333.189999999999</v>
      </c>
      <c r="BH47">
        <v>24684.13</v>
      </c>
      <c r="BI47">
        <v>12230.83</v>
      </c>
      <c r="BJ47">
        <v>7239.29</v>
      </c>
      <c r="BK47">
        <v>53753.24</v>
      </c>
      <c r="BL47">
        <v>4285.96</v>
      </c>
      <c r="BM47">
        <v>1628.97</v>
      </c>
      <c r="BN47">
        <v>26094.97</v>
      </c>
      <c r="BO47">
        <v>9995.35</v>
      </c>
      <c r="BP47">
        <v>5566.69</v>
      </c>
      <c r="BQ47">
        <v>67984.75</v>
      </c>
      <c r="BR47">
        <v>14835.41</v>
      </c>
      <c r="BS47">
        <v>15205.35</v>
      </c>
      <c r="BT47">
        <v>45361.71</v>
      </c>
      <c r="BU47">
        <v>36770.5</v>
      </c>
      <c r="BV47">
        <v>36655.339999999997</v>
      </c>
      <c r="BW47">
        <v>7466.74</v>
      </c>
      <c r="BX47">
        <v>8814.81</v>
      </c>
      <c r="BY47">
        <v>38797.449999999997</v>
      </c>
      <c r="BZ47">
        <v>2818.18</v>
      </c>
      <c r="CA47">
        <v>3153.12</v>
      </c>
      <c r="CB47">
        <v>24080.47</v>
      </c>
      <c r="CC47">
        <v>35273.040000000001</v>
      </c>
      <c r="CD47">
        <v>44860.88</v>
      </c>
      <c r="CE47">
        <v>5714.36</v>
      </c>
      <c r="CF47">
        <v>14991.3</v>
      </c>
      <c r="CG47">
        <v>867.16</v>
      </c>
      <c r="CH47">
        <v>11804.11</v>
      </c>
      <c r="CI47">
        <v>11479.07</v>
      </c>
      <c r="CJ47">
        <v>3001.93</v>
      </c>
      <c r="CK47">
        <v>97541.05</v>
      </c>
      <c r="CL47">
        <v>7690.08</v>
      </c>
      <c r="CM47">
        <v>1499.67</v>
      </c>
      <c r="CN47">
        <v>15441.41</v>
      </c>
      <c r="CO47">
        <v>17702.93</v>
      </c>
      <c r="CP47">
        <v>2193.62</v>
      </c>
      <c r="CQ47">
        <v>36037.39</v>
      </c>
      <c r="CR47">
        <v>5135.8100000000004</v>
      </c>
      <c r="CS47">
        <v>11445.87</v>
      </c>
      <c r="CT47">
        <v>1239.73</v>
      </c>
      <c r="CU47">
        <v>3045.03</v>
      </c>
      <c r="CV47">
        <v>19813.099999999999</v>
      </c>
      <c r="CW47">
        <v>20104.28</v>
      </c>
      <c r="CX47">
        <v>1090.0999999999999</v>
      </c>
      <c r="CY47">
        <v>24269.41</v>
      </c>
      <c r="CZ47">
        <v>11279.93</v>
      </c>
      <c r="DA47">
        <v>873.48</v>
      </c>
      <c r="DB47">
        <v>4970.53</v>
      </c>
      <c r="DC47">
        <v>4874.79</v>
      </c>
      <c r="DD47">
        <v>47898.94</v>
      </c>
      <c r="DE47">
        <v>58096.37</v>
      </c>
      <c r="DF47">
        <v>2257.41</v>
      </c>
      <c r="DG47">
        <v>36598.660000000003</v>
      </c>
      <c r="DH47">
        <v>32460.47</v>
      </c>
      <c r="DI47">
        <v>4689.7700000000004</v>
      </c>
      <c r="DJ47">
        <v>20581.41</v>
      </c>
      <c r="DK47">
        <v>11173.72</v>
      </c>
      <c r="DL47">
        <v>6895.74</v>
      </c>
      <c r="DM47">
        <v>26227.35</v>
      </c>
      <c r="DN47">
        <v>28566.65</v>
      </c>
      <c r="DO47">
        <v>8055.44</v>
      </c>
      <c r="DP47">
        <v>4379.6099999999997</v>
      </c>
      <c r="DQ47">
        <v>21156.5</v>
      </c>
      <c r="DR47">
        <v>1788.24</v>
      </c>
      <c r="DS47" s="6">
        <v>41110.800000000003</v>
      </c>
      <c r="DT47">
        <v>4205.45</v>
      </c>
      <c r="DU47">
        <v>3003.45</v>
      </c>
      <c r="DV47">
        <v>76293.62</v>
      </c>
      <c r="DW47">
        <v>1265.52</v>
      </c>
      <c r="DX47">
        <v>6794.19</v>
      </c>
      <c r="DY47">
        <v>3058.83</v>
      </c>
      <c r="DZ47">
        <v>14579.03</v>
      </c>
      <c r="EA47">
        <v>45909.93</v>
      </c>
      <c r="EB47">
        <v>7832.35</v>
      </c>
      <c r="EC47">
        <v>28007.3</v>
      </c>
      <c r="ED47">
        <v>4214.25</v>
      </c>
      <c r="EE47">
        <v>22127.29</v>
      </c>
      <c r="EF47">
        <v>1674.76</v>
      </c>
      <c r="EG47">
        <v>1458.96</v>
      </c>
      <c r="EH47">
        <v>15476.2</v>
      </c>
      <c r="EI47">
        <v>46401.919999999998</v>
      </c>
      <c r="EJ47">
        <v>10697.72</v>
      </c>
      <c r="EK47">
        <v>25301.49</v>
      </c>
      <c r="EL47">
        <v>46490.7</v>
      </c>
      <c r="EM47">
        <v>2305.0700000000002</v>
      </c>
      <c r="EN47">
        <v>1834.38</v>
      </c>
      <c r="EO47">
        <v>20060.990000000002</v>
      </c>
      <c r="EP47">
        <v>54595.74</v>
      </c>
      <c r="EQ47">
        <v>9888.77</v>
      </c>
      <c r="ER47">
        <v>7374.15</v>
      </c>
      <c r="ES47">
        <v>26682.23</v>
      </c>
      <c r="ET47">
        <v>5593.52</v>
      </c>
      <c r="EU47">
        <v>12142.93</v>
      </c>
      <c r="EV47">
        <v>3643.6</v>
      </c>
      <c r="EW47">
        <v>1907.27</v>
      </c>
    </row>
    <row r="48" spans="1:153" x14ac:dyDescent="0.35">
      <c r="A48">
        <v>2016</v>
      </c>
      <c r="B48">
        <v>37168.97</v>
      </c>
      <c r="C48">
        <v>5112.63</v>
      </c>
      <c r="D48">
        <v>25326.39</v>
      </c>
      <c r="E48">
        <v>10843.56</v>
      </c>
      <c r="F48">
        <v>16335.16</v>
      </c>
      <c r="G48">
        <v>19010.84</v>
      </c>
      <c r="H48">
        <v>47198.75</v>
      </c>
      <c r="I48">
        <v>50159.15</v>
      </c>
      <c r="J48">
        <v>742.77</v>
      </c>
      <c r="K48">
        <v>45499.32</v>
      </c>
      <c r="L48">
        <v>1895.07</v>
      </c>
      <c r="M48">
        <v>1582.57</v>
      </c>
      <c r="N48">
        <v>3244.94</v>
      </c>
      <c r="O48">
        <v>19069.650000000001</v>
      </c>
      <c r="P48">
        <v>38499.360000000001</v>
      </c>
      <c r="Q48" s="6">
        <v>28911.93</v>
      </c>
      <c r="R48">
        <v>8229.69</v>
      </c>
      <c r="S48">
        <v>63514.22</v>
      </c>
      <c r="T48">
        <v>5863.28</v>
      </c>
      <c r="U48">
        <v>14002.17</v>
      </c>
      <c r="V48">
        <v>14637.68</v>
      </c>
      <c r="W48">
        <v>7943.1</v>
      </c>
      <c r="X48">
        <v>16934.48</v>
      </c>
      <c r="Y48">
        <v>722.64</v>
      </c>
      <c r="Z48">
        <v>43182.15</v>
      </c>
      <c r="AA48">
        <v>61670.93</v>
      </c>
      <c r="AB48">
        <v>23544.51</v>
      </c>
      <c r="AC48">
        <v>12501.66</v>
      </c>
      <c r="AD48">
        <v>3528.48</v>
      </c>
      <c r="AE48">
        <v>3104</v>
      </c>
      <c r="AF48">
        <v>789.17</v>
      </c>
      <c r="AG48">
        <v>3649.1</v>
      </c>
      <c r="AH48">
        <v>12627.93</v>
      </c>
      <c r="AI48">
        <v>2809.29</v>
      </c>
      <c r="AJ48">
        <v>6289.41</v>
      </c>
      <c r="AK48">
        <v>15772.02</v>
      </c>
      <c r="AL48" s="6">
        <v>55490.73</v>
      </c>
      <c r="AM48">
        <v>32777.089999999997</v>
      </c>
      <c r="AN48">
        <v>47496.23</v>
      </c>
      <c r="AO48">
        <v>3906.98</v>
      </c>
      <c r="AP48">
        <v>10155.379999999999</v>
      </c>
      <c r="AQ48">
        <v>47009.279999999999</v>
      </c>
      <c r="AR48">
        <v>14311.58</v>
      </c>
      <c r="AS48">
        <v>11719.53</v>
      </c>
      <c r="AT48">
        <v>9988.2999999999993</v>
      </c>
      <c r="AU48" s="6">
        <v>10199.790000000001</v>
      </c>
      <c r="AV48">
        <v>35607.629999999997</v>
      </c>
      <c r="AW48">
        <v>1525.76</v>
      </c>
      <c r="AX48">
        <v>41523.660000000003</v>
      </c>
      <c r="AY48">
        <v>8442.0300000000007</v>
      </c>
      <c r="AZ48">
        <v>39824.5</v>
      </c>
      <c r="BA48">
        <v>12638.73</v>
      </c>
      <c r="BB48">
        <v>41230.15</v>
      </c>
      <c r="BC48">
        <v>4920.6099999999997</v>
      </c>
      <c r="BD48">
        <v>1848.05</v>
      </c>
      <c r="BE48">
        <v>2328.8200000000002</v>
      </c>
      <c r="BF48">
        <v>1627.03</v>
      </c>
      <c r="BG48">
        <v>15586.11</v>
      </c>
      <c r="BH48">
        <v>24715.86</v>
      </c>
      <c r="BI48">
        <v>12605.86</v>
      </c>
      <c r="BJ48">
        <v>7407.81</v>
      </c>
      <c r="BK48">
        <v>54592.89</v>
      </c>
      <c r="BL48">
        <v>4393.63</v>
      </c>
      <c r="BM48">
        <v>1613.45</v>
      </c>
      <c r="BN48">
        <v>26279.29</v>
      </c>
      <c r="BO48">
        <v>10326.450000000001</v>
      </c>
      <c r="BP48">
        <v>5935.53</v>
      </c>
      <c r="BQ48">
        <v>72697.679999999993</v>
      </c>
      <c r="BR48">
        <v>15467.87</v>
      </c>
      <c r="BS48">
        <v>17104.34</v>
      </c>
      <c r="BT48">
        <v>48634.91</v>
      </c>
      <c r="BU48">
        <v>38112.76</v>
      </c>
      <c r="BV48">
        <v>38469.81</v>
      </c>
      <c r="BW48">
        <v>7664.04</v>
      </c>
      <c r="BX48">
        <v>8722.24</v>
      </c>
      <c r="BY48">
        <v>39546.67</v>
      </c>
      <c r="BZ48">
        <v>2954.55</v>
      </c>
      <c r="CA48">
        <v>3347.59</v>
      </c>
      <c r="CB48">
        <v>24310.51</v>
      </c>
      <c r="CC48">
        <v>36527.74</v>
      </c>
      <c r="CD48">
        <v>40690.15</v>
      </c>
      <c r="CE48">
        <v>6347.4</v>
      </c>
      <c r="CF48">
        <v>15243.25</v>
      </c>
      <c r="CG48">
        <v>842.25</v>
      </c>
      <c r="CH48">
        <v>12112.6</v>
      </c>
      <c r="CI48">
        <v>11938.07</v>
      </c>
      <c r="CJ48">
        <v>2982.97</v>
      </c>
      <c r="CK48">
        <v>98780.67</v>
      </c>
      <c r="CL48">
        <v>7794.08</v>
      </c>
      <c r="CM48">
        <v>1519.21</v>
      </c>
      <c r="CN48">
        <v>15630.06</v>
      </c>
      <c r="CO48">
        <v>17990.919999999998</v>
      </c>
      <c r="CP48">
        <v>2314.92</v>
      </c>
      <c r="CQ48">
        <v>38401.040000000001</v>
      </c>
      <c r="CR48">
        <v>5204.05</v>
      </c>
      <c r="CS48">
        <v>11904.03</v>
      </c>
      <c r="CT48">
        <v>1258.08</v>
      </c>
      <c r="CU48">
        <v>2935.98</v>
      </c>
      <c r="CV48">
        <v>19886.580000000002</v>
      </c>
      <c r="CW48">
        <v>21307.09</v>
      </c>
      <c r="CX48">
        <v>1029.79</v>
      </c>
      <c r="CY48">
        <v>24686.1</v>
      </c>
      <c r="CZ48">
        <v>11294.42</v>
      </c>
      <c r="DA48">
        <v>888.72</v>
      </c>
      <c r="DB48">
        <v>4436.5</v>
      </c>
      <c r="DC48">
        <v>5150.79</v>
      </c>
      <c r="DD48">
        <v>47983.14</v>
      </c>
      <c r="DE48">
        <v>55929.919999999998</v>
      </c>
      <c r="DF48">
        <v>2282.0500000000002</v>
      </c>
      <c r="DG48">
        <v>37824.550000000003</v>
      </c>
      <c r="DH48">
        <v>29938.84</v>
      </c>
      <c r="DI48">
        <v>4902.63</v>
      </c>
      <c r="DJ48">
        <v>21342.59</v>
      </c>
      <c r="DK48">
        <v>11520.24</v>
      </c>
      <c r="DL48">
        <v>7297.18</v>
      </c>
      <c r="DM48">
        <v>26879.06</v>
      </c>
      <c r="DN48">
        <v>26883.3</v>
      </c>
      <c r="DO48">
        <v>8217.42</v>
      </c>
      <c r="DP48">
        <v>4460.03</v>
      </c>
      <c r="DQ48">
        <v>22954.78</v>
      </c>
      <c r="DR48">
        <v>1871.53</v>
      </c>
      <c r="DS48" s="6">
        <v>38670.449999999997</v>
      </c>
      <c r="DT48">
        <v>4323.55</v>
      </c>
      <c r="DU48">
        <v>3078.7</v>
      </c>
      <c r="DV48">
        <v>77200.37</v>
      </c>
      <c r="DW48">
        <v>1373.09</v>
      </c>
      <c r="DX48">
        <v>6960.64</v>
      </c>
      <c r="DY48">
        <v>3497.13</v>
      </c>
      <c r="DZ48">
        <v>13697.66</v>
      </c>
      <c r="EA48">
        <v>46210.99</v>
      </c>
      <c r="EB48">
        <v>7661.51</v>
      </c>
      <c r="EC48">
        <v>27809.93</v>
      </c>
      <c r="ED48">
        <v>4213.25</v>
      </c>
      <c r="EE48">
        <v>22764.83</v>
      </c>
      <c r="EF48">
        <v>1494.74</v>
      </c>
      <c r="EG48">
        <v>1512.55</v>
      </c>
      <c r="EH48">
        <v>15935.33</v>
      </c>
      <c r="EI48">
        <v>42369.62</v>
      </c>
      <c r="EJ48">
        <v>10809.54</v>
      </c>
      <c r="EK48">
        <v>25482.33</v>
      </c>
      <c r="EL48">
        <v>47080.62</v>
      </c>
      <c r="EM48">
        <v>2386.15</v>
      </c>
      <c r="EN48">
        <v>1777.72</v>
      </c>
      <c r="EO48">
        <v>20315.02</v>
      </c>
      <c r="EP48">
        <v>55265.14</v>
      </c>
      <c r="EQ48">
        <v>10039.450000000001</v>
      </c>
      <c r="ER48">
        <v>7442.67</v>
      </c>
      <c r="ES48">
        <v>26227.9</v>
      </c>
      <c r="ET48">
        <v>5992.73</v>
      </c>
      <c r="EU48">
        <v>12059.59</v>
      </c>
      <c r="EV48">
        <v>3680.28</v>
      </c>
      <c r="EW48">
        <v>1917.87</v>
      </c>
    </row>
    <row r="49" spans="1:153" x14ac:dyDescent="0.35">
      <c r="A49">
        <v>2017</v>
      </c>
      <c r="B49">
        <v>37395.99</v>
      </c>
      <c r="C49">
        <v>5004.59</v>
      </c>
      <c r="D49">
        <v>23012.41</v>
      </c>
      <c r="E49">
        <v>11628.87</v>
      </c>
      <c r="F49">
        <v>16771.37</v>
      </c>
      <c r="G49">
        <v>20264.2</v>
      </c>
      <c r="H49">
        <v>48141.94</v>
      </c>
      <c r="I49">
        <v>51524.41</v>
      </c>
      <c r="J49">
        <v>743.92</v>
      </c>
      <c r="K49">
        <v>46522.36</v>
      </c>
      <c r="L49">
        <v>1963.8</v>
      </c>
      <c r="M49">
        <v>1645.95</v>
      </c>
      <c r="N49">
        <v>3455.1</v>
      </c>
      <c r="O49">
        <v>20026.93</v>
      </c>
      <c r="P49">
        <v>38029.800000000003</v>
      </c>
      <c r="Q49" s="6">
        <v>28449.96</v>
      </c>
      <c r="R49">
        <v>8561.6</v>
      </c>
      <c r="S49">
        <v>65571.759999999995</v>
      </c>
      <c r="T49">
        <v>6191.77</v>
      </c>
      <c r="U49">
        <v>14108.92</v>
      </c>
      <c r="V49">
        <v>13937.6</v>
      </c>
      <c r="W49">
        <v>8189.38</v>
      </c>
      <c r="X49">
        <v>16235.75</v>
      </c>
      <c r="Y49">
        <v>726.71</v>
      </c>
      <c r="Z49">
        <v>44492.65</v>
      </c>
      <c r="AA49">
        <v>62926.57</v>
      </c>
      <c r="AB49">
        <v>24024.400000000001</v>
      </c>
      <c r="AC49">
        <v>13051.32</v>
      </c>
      <c r="AD49">
        <v>3605.62</v>
      </c>
      <c r="AE49">
        <v>3156.45</v>
      </c>
      <c r="AF49">
        <v>798.68</v>
      </c>
      <c r="AG49">
        <v>4581.74</v>
      </c>
      <c r="AH49">
        <v>12964.43</v>
      </c>
      <c r="AI49">
        <v>2832.2</v>
      </c>
      <c r="AJ49">
        <v>6655.66</v>
      </c>
      <c r="AK49">
        <v>16272.16</v>
      </c>
      <c r="AL49" s="6">
        <v>56038.07</v>
      </c>
      <c r="AM49">
        <v>34470.269999999997</v>
      </c>
      <c r="AN49">
        <v>49141.04</v>
      </c>
      <c r="AO49">
        <v>3545.14</v>
      </c>
      <c r="AP49">
        <v>9114.69</v>
      </c>
      <c r="AQ49">
        <v>49606.82</v>
      </c>
      <c r="AR49">
        <v>14683.9</v>
      </c>
      <c r="AS49">
        <v>12116.37</v>
      </c>
      <c r="AT49">
        <v>10193.98</v>
      </c>
      <c r="AU49" s="6">
        <v>10209.41</v>
      </c>
      <c r="AV49">
        <v>37232.800000000003</v>
      </c>
      <c r="AW49">
        <v>1526.29</v>
      </c>
      <c r="AX49">
        <v>42901.9</v>
      </c>
      <c r="AY49">
        <v>8633.68</v>
      </c>
      <c r="AZ49">
        <v>40975.050000000003</v>
      </c>
      <c r="BA49">
        <v>11867.92</v>
      </c>
      <c r="BB49">
        <v>42137.82</v>
      </c>
      <c r="BC49">
        <v>5153.55</v>
      </c>
      <c r="BD49">
        <v>2142.87</v>
      </c>
      <c r="BE49">
        <v>2352.59</v>
      </c>
      <c r="BF49">
        <v>1755.44</v>
      </c>
      <c r="BG49">
        <v>16359.02</v>
      </c>
      <c r="BH49">
        <v>25376.06</v>
      </c>
      <c r="BI49">
        <v>13160.72</v>
      </c>
      <c r="BJ49">
        <v>7473.34</v>
      </c>
      <c r="BK49">
        <v>56154.34</v>
      </c>
      <c r="BL49">
        <v>4523.24</v>
      </c>
      <c r="BM49">
        <v>1561.73</v>
      </c>
      <c r="BN49">
        <v>27530.59</v>
      </c>
      <c r="BO49">
        <v>10841.7</v>
      </c>
      <c r="BP49">
        <v>6281.54</v>
      </c>
      <c r="BQ49">
        <v>73296.97</v>
      </c>
      <c r="BR49">
        <v>15985.95</v>
      </c>
      <c r="BS49">
        <v>16683.3</v>
      </c>
      <c r="BT49">
        <v>51315.9</v>
      </c>
      <c r="BU49">
        <v>38724.089999999997</v>
      </c>
      <c r="BV49">
        <v>39470.89</v>
      </c>
      <c r="BW49">
        <v>7713.82</v>
      </c>
      <c r="BX49">
        <v>8736.36</v>
      </c>
      <c r="BY49">
        <v>40063.53</v>
      </c>
      <c r="BZ49">
        <v>2987.5</v>
      </c>
      <c r="CA49">
        <v>3485.27</v>
      </c>
      <c r="CB49">
        <v>24562.74</v>
      </c>
      <c r="CC49">
        <v>37725.07</v>
      </c>
      <c r="CD49">
        <v>38451.129999999997</v>
      </c>
      <c r="CE49">
        <v>6563.87</v>
      </c>
      <c r="CF49">
        <v>15169.31</v>
      </c>
      <c r="CG49">
        <v>849.27</v>
      </c>
      <c r="CH49">
        <v>12812.86</v>
      </c>
      <c r="CI49">
        <v>12512.75</v>
      </c>
      <c r="CJ49">
        <v>2999.39</v>
      </c>
      <c r="CK49">
        <v>99476.79</v>
      </c>
      <c r="CL49">
        <v>8002.15</v>
      </c>
      <c r="CM49">
        <v>1595.09</v>
      </c>
      <c r="CN49">
        <v>16441.7</v>
      </c>
      <c r="CO49">
        <v>18360.419999999998</v>
      </c>
      <c r="CP49">
        <v>2410.87</v>
      </c>
      <c r="CQ49">
        <v>41846.75</v>
      </c>
      <c r="CR49">
        <v>5655.31</v>
      </c>
      <c r="CS49">
        <v>12011.06</v>
      </c>
      <c r="CT49">
        <v>1207.6400000000001</v>
      </c>
      <c r="CU49">
        <v>2998.25</v>
      </c>
      <c r="CV49">
        <v>19251.55</v>
      </c>
      <c r="CW49">
        <v>22656.92</v>
      </c>
      <c r="CX49">
        <v>1003.78</v>
      </c>
      <c r="CY49">
        <v>26000.6</v>
      </c>
      <c r="CZ49">
        <v>11142.07</v>
      </c>
      <c r="DA49">
        <v>892.62</v>
      </c>
      <c r="DB49">
        <v>4374.54</v>
      </c>
      <c r="DC49">
        <v>5360.22</v>
      </c>
      <c r="DD49">
        <v>50024.05</v>
      </c>
      <c r="DE49">
        <v>58073.04</v>
      </c>
      <c r="DF49">
        <v>2450.14</v>
      </c>
      <c r="DG49">
        <v>38985.47</v>
      </c>
      <c r="DH49">
        <v>28249.21</v>
      </c>
      <c r="DI49">
        <v>5106.63</v>
      </c>
      <c r="DJ49">
        <v>22421.91</v>
      </c>
      <c r="DK49">
        <v>11905.33</v>
      </c>
      <c r="DL49">
        <v>7628.83</v>
      </c>
      <c r="DM49">
        <v>28420.41</v>
      </c>
      <c r="DN49">
        <v>26953.45</v>
      </c>
      <c r="DO49">
        <v>8291.81</v>
      </c>
      <c r="DP49">
        <v>4399.3999999999996</v>
      </c>
      <c r="DQ49">
        <v>25262.14</v>
      </c>
      <c r="DR49">
        <v>1948.49</v>
      </c>
      <c r="DS49" s="6">
        <v>39890.65</v>
      </c>
      <c r="DT49">
        <v>4321.2299999999996</v>
      </c>
      <c r="DU49">
        <v>3140.13</v>
      </c>
      <c r="DV49">
        <v>79842.570000000007</v>
      </c>
      <c r="DW49">
        <v>1404.31</v>
      </c>
      <c r="DX49">
        <v>6994.61</v>
      </c>
      <c r="DY49">
        <v>3483.57</v>
      </c>
      <c r="DZ49">
        <v>13472.05</v>
      </c>
      <c r="EA49">
        <v>47891.92</v>
      </c>
      <c r="EB49">
        <v>7668.12</v>
      </c>
      <c r="EC49">
        <v>28553.1</v>
      </c>
      <c r="ED49">
        <v>4363.88</v>
      </c>
      <c r="EE49">
        <v>23362.83</v>
      </c>
      <c r="EF49">
        <v>1368.01</v>
      </c>
      <c r="EG49">
        <v>1547.22</v>
      </c>
      <c r="EH49">
        <v>16675.22</v>
      </c>
      <c r="EI49">
        <v>43008.81</v>
      </c>
      <c r="EJ49">
        <v>10873.24</v>
      </c>
      <c r="EK49">
        <v>26649.9</v>
      </c>
      <c r="EL49">
        <v>47843.24</v>
      </c>
      <c r="EM49">
        <v>2453.4899999999998</v>
      </c>
      <c r="EN49">
        <v>1784.99</v>
      </c>
      <c r="EO49">
        <v>20607.47</v>
      </c>
      <c r="EP49">
        <v>56153.42</v>
      </c>
      <c r="EQ49">
        <v>10099.56</v>
      </c>
      <c r="ER49">
        <v>7925.13</v>
      </c>
      <c r="ES49">
        <v>25930.51</v>
      </c>
      <c r="ET49">
        <v>6434.56</v>
      </c>
      <c r="EU49">
        <v>12201.4</v>
      </c>
      <c r="EV49">
        <v>3965.37</v>
      </c>
      <c r="EW49">
        <v>1977.84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236"/>
  <sheetViews>
    <sheetView topLeftCell="B216" workbookViewId="0">
      <selection activeCell="K220" sqref="K220"/>
    </sheetView>
  </sheetViews>
  <sheetFormatPr defaultRowHeight="14.5" x14ac:dyDescent="0.35"/>
  <cols>
    <col min="1" max="1" width="6.81640625" bestFit="1" customWidth="1"/>
    <col min="2" max="2" width="10.54296875" style="8" customWidth="1"/>
    <col min="3" max="3" width="12.6328125" style="8" customWidth="1"/>
    <col min="4" max="5" width="8.81640625" style="8" bestFit="1" customWidth="1"/>
    <col min="6" max="6" width="10.26953125" customWidth="1"/>
    <col min="7" max="7" width="10.6328125" customWidth="1"/>
    <col min="8" max="8" width="15.453125" customWidth="1"/>
    <col min="9" max="9" width="14.08984375" customWidth="1"/>
    <col min="10" max="10" width="13" customWidth="1"/>
    <col min="11" max="11" width="19.1796875" customWidth="1"/>
    <col min="12" max="12" width="17.54296875" customWidth="1"/>
    <col min="13" max="13" width="12.54296875" customWidth="1"/>
    <col min="14" max="14" width="18" customWidth="1"/>
    <col min="15" max="15" width="19.1796875" customWidth="1"/>
    <col min="16" max="16" width="16.6328125" customWidth="1"/>
    <col min="17" max="17" width="20.81640625" customWidth="1"/>
    <col min="18" max="18" width="13.453125" customWidth="1"/>
    <col min="19" max="19" width="19.6328125" customWidth="1"/>
    <col min="21" max="21" width="16.453125" customWidth="1"/>
    <col min="23" max="23" width="10.81640625" customWidth="1"/>
    <col min="25" max="25" width="16.26953125" customWidth="1"/>
  </cols>
  <sheetData>
    <row r="1" spans="1:36" x14ac:dyDescent="0.35">
      <c r="A1" t="s">
        <v>0</v>
      </c>
      <c r="B1" t="s">
        <v>6</v>
      </c>
      <c r="C1" t="s">
        <v>199</v>
      </c>
      <c r="D1" s="8" t="s">
        <v>51</v>
      </c>
      <c r="E1" s="8" t="s">
        <v>72</v>
      </c>
      <c r="F1" s="8" t="s">
        <v>81</v>
      </c>
      <c r="G1" s="8" t="s">
        <v>157</v>
      </c>
      <c r="H1" s="8" t="s">
        <v>195</v>
      </c>
      <c r="I1" s="8" t="s">
        <v>213</v>
      </c>
      <c r="J1" s="8" t="s">
        <v>196</v>
      </c>
      <c r="K1" s="8" t="s">
        <v>214</v>
      </c>
      <c r="L1" s="8" t="s">
        <v>197</v>
      </c>
      <c r="M1" s="8" t="s">
        <v>215</v>
      </c>
      <c r="N1" s="8" t="s">
        <v>198</v>
      </c>
      <c r="O1" s="8" t="s">
        <v>216</v>
      </c>
      <c r="P1" s="8" t="s">
        <v>200</v>
      </c>
      <c r="Q1" s="8" t="s">
        <v>201</v>
      </c>
      <c r="R1" s="8" t="s">
        <v>202</v>
      </c>
      <c r="S1" s="8" t="s">
        <v>203</v>
      </c>
      <c r="T1" s="8" t="s">
        <v>209</v>
      </c>
      <c r="U1" s="8" t="s">
        <v>210</v>
      </c>
      <c r="V1" s="8" t="s">
        <v>211</v>
      </c>
      <c r="W1" s="8" t="s">
        <v>212</v>
      </c>
      <c r="X1" s="8"/>
      <c r="Y1" s="8" t="s">
        <v>217</v>
      </c>
      <c r="AA1" t="s">
        <v>205</v>
      </c>
      <c r="AB1" t="s">
        <v>7</v>
      </c>
    </row>
    <row r="2" spans="1:36" ht="15" thickBot="1" x14ac:dyDescent="0.4">
      <c r="A2">
        <v>1970</v>
      </c>
      <c r="B2">
        <f>Table4[[#This Row],[Year]]+0.5</f>
        <v>1970.5</v>
      </c>
      <c r="C2">
        <f>Table4[[#This Row],[DecDate]]*Table4[[#This Row],[DecDate]]</f>
        <v>3882870.25</v>
      </c>
      <c r="D2" s="8">
        <v>16532.59</v>
      </c>
      <c r="E2" s="8">
        <v>26469.52</v>
      </c>
      <c r="F2" s="8">
        <v>1079.49</v>
      </c>
      <c r="G2" s="8">
        <v>18625.150000000001</v>
      </c>
      <c r="H2" s="8">
        <f>LN(Table4[[#This Row],[BHS]])</f>
        <v>9.7130888633567736</v>
      </c>
      <c r="I2" s="8"/>
      <c r="J2" s="8">
        <f>LN(Table4[[#This Row],[CYM]])</f>
        <v>10.183749161320424</v>
      </c>
      <c r="K2" s="8"/>
      <c r="L2" s="8">
        <f>LN(Table4[[#This Row],[EGY]])</f>
        <v>6.9842439863640164</v>
      </c>
      <c r="M2" s="8"/>
      <c r="N2" s="8">
        <f>LN(Table4[[#This Row],[SAU]])</f>
        <v>9.8322680969066045</v>
      </c>
      <c r="O2" s="8"/>
      <c r="P2" s="9">
        <f>$AC$17+$AC$18*Table4[[#This Row],[DecDate]]+$AC$19*Table4[[#This Row],[DecDate^2]]</f>
        <v>9.4657431859927783</v>
      </c>
      <c r="Q2" s="9">
        <f>$AC$37+$AC$38*Table4[[#This Row],[DecDate]]+$AC$39*Table4[[#This Row],[DecDate^2]]</f>
        <v>10.069857081794908</v>
      </c>
      <c r="R2" s="9">
        <f>$W$57+$W$58*Table4[[#This Row],[DecDate]]+$W$59*Table4[[#This Row],[DecDate^2]]</f>
        <v>6.8454342527306835</v>
      </c>
      <c r="S2" s="9">
        <f>$W$77+$W$78*Table4[[#This Row],[DecDate]]+$W$79*Table4[[#This Row],[DecDate^2]]</f>
        <v>10.52427147027538</v>
      </c>
      <c r="T2" s="9">
        <f>Table4[[#This Row],[LOG(Bahamas)]]-Table4[[#This Row],[Trend(Bahamas)]]</f>
        <v>0.24734567736399526</v>
      </c>
      <c r="U2" s="9">
        <f>Table4[[#This Row],[LOG(Cayman Islands)]]-Table4[[#This Row],[Trend(Cayman Island)]]</f>
        <v>0.11389207952551672</v>
      </c>
      <c r="V2" s="9">
        <f>Table4[[#This Row],[LOG(Egypt)]]-Table4[[#This Row],[Trend(Egypt)]]</f>
        <v>0.13880973363333293</v>
      </c>
      <c r="W2" s="9">
        <f>Table4[[#This Row],[LOG(Saudi Arabia)]]-Table4[[#This Row],[Trend(Saudi Arabia)]]</f>
        <v>-0.6920033733687756</v>
      </c>
      <c r="X2" s="9"/>
      <c r="Y2" s="9" t="e" vm="1">
        <v>#VALUE!</v>
      </c>
      <c r="Z2">
        <f>AVERAGE(I3:I49)</f>
        <v>1.1549216387687668E-2</v>
      </c>
    </row>
    <row r="3" spans="1:36" x14ac:dyDescent="0.35">
      <c r="A3">
        <v>1971</v>
      </c>
      <c r="B3">
        <f>Table4[[#This Row],[Year]]+0.5</f>
        <v>1971.5</v>
      </c>
      <c r="C3">
        <f>Table4[[#This Row],[DecDate]]*Table4[[#This Row],[DecDate]]</f>
        <v>3886812.25</v>
      </c>
      <c r="D3" s="8">
        <v>16212.69</v>
      </c>
      <c r="E3" s="8">
        <v>26062.13</v>
      </c>
      <c r="F3" s="8">
        <v>1075.69</v>
      </c>
      <c r="G3" s="8">
        <v>21875.47</v>
      </c>
      <c r="H3" s="8">
        <f>LN(Table4[[#This Row],[BHS]])</f>
        <v>9.6935495479083791</v>
      </c>
      <c r="I3" s="8">
        <f>Table4[[#This Row],[LOG(Bahamas)]]-H2</f>
        <v>-1.953931544839449E-2</v>
      </c>
      <c r="J3" s="8">
        <f>LN(Table4[[#This Row],[CYM]])</f>
        <v>10.168238581797699</v>
      </c>
      <c r="K3" s="8">
        <f>Table4[[#This Row],[LOG(Cayman Islands)]]-J2</f>
        <v>-1.551057952272572E-2</v>
      </c>
      <c r="L3" s="8">
        <f>LN(Table4[[#This Row],[EGY]])</f>
        <v>6.9807175951225542</v>
      </c>
      <c r="M3" s="8">
        <f>Table4[[#This Row],[LOG(Egypt)]]-L2</f>
        <v>-3.5263912414622567E-3</v>
      </c>
      <c r="N3" s="8">
        <f>LN(Table4[[#This Row],[SAU]])</f>
        <v>9.9931211967092857</v>
      </c>
      <c r="O3" s="8">
        <f>Table4[[#This Row],[LOG(Saudi Arabia)]]-N2</f>
        <v>0.16085309980268114</v>
      </c>
      <c r="P3" s="9">
        <f>$AC$17+$AC$18*Table4[[#This Row],[DecDate]]+$AC$19*Table4[[#This Row],[DecDate^2]]</f>
        <v>9.5098740318994714</v>
      </c>
      <c r="Q3" s="9">
        <f>$AC$37+$AC$38*Table4[[#This Row],[DecDate]]+$AC$39*Table4[[#This Row],[DecDate^2]]</f>
        <v>10.129473215051803</v>
      </c>
      <c r="R3" s="9">
        <f>$W$57+$W$58*Table4[[#This Row],[DecDate]]+$W$59*Table4[[#This Row],[DecDate^2]]</f>
        <v>6.8857468177575356</v>
      </c>
      <c r="S3" s="9">
        <f>$W$77+$W$78*Table4[[#This Row],[DecDate]]+$W$79*Table4[[#This Row],[DecDate^2]]</f>
        <v>10.461427443448883</v>
      </c>
      <c r="T3" s="9">
        <f>Table4[[#This Row],[LOG(Bahamas)]]-Table4[[#This Row],[Trend(Bahamas)]]</f>
        <v>0.18367551600890764</v>
      </c>
      <c r="U3" s="9">
        <f>Table4[[#This Row],[LOG(Cayman Islands)]]-Table4[[#This Row],[Trend(Cayman Island)]]</f>
        <v>3.8765366745895591E-2</v>
      </c>
      <c r="V3" s="9">
        <f>Table4[[#This Row],[LOG(Egypt)]]-Table4[[#This Row],[Trend(Egypt)]]</f>
        <v>9.4970777365018577E-2</v>
      </c>
      <c r="W3" s="9">
        <f>Table4[[#This Row],[LOG(Saudi Arabia)]]-Table4[[#This Row],[Trend(Saudi Arabia)]]</f>
        <v>-0.46830624673959775</v>
      </c>
      <c r="X3" s="9"/>
      <c r="Y3" s="9" t="e" vm="2">
        <v>#VALUE!</v>
      </c>
      <c r="Z3">
        <f>AVERAGE(K3:K49)</f>
        <v>1.5958242528755776E-2</v>
      </c>
      <c r="AB3" s="4" t="s">
        <v>8</v>
      </c>
      <c r="AC3" s="4"/>
    </row>
    <row r="4" spans="1:36" x14ac:dyDescent="0.35">
      <c r="A4">
        <v>1972</v>
      </c>
      <c r="B4">
        <f>Table4[[#This Row],[Year]]+0.5</f>
        <v>1972.5</v>
      </c>
      <c r="C4">
        <f>Table4[[#This Row],[DecDate]]*Table4[[#This Row],[DecDate]]</f>
        <v>3890756.25</v>
      </c>
      <c r="D4" s="8">
        <v>15609.01</v>
      </c>
      <c r="E4" s="8">
        <v>26631.4</v>
      </c>
      <c r="F4" s="8">
        <v>1118.8800000000001</v>
      </c>
      <c r="G4" s="8">
        <v>24759.81</v>
      </c>
      <c r="H4" s="8">
        <f>LN(Table4[[#This Row],[BHS]])</f>
        <v>9.6556035906142395</v>
      </c>
      <c r="I4" s="8">
        <f>Table4[[#This Row],[LOG(Bahamas)]]-H3</f>
        <v>-3.7945957294139632E-2</v>
      </c>
      <c r="J4" s="8">
        <f>LN(Table4[[#This Row],[CYM]])</f>
        <v>10.189846249712998</v>
      </c>
      <c r="K4" s="8">
        <f>Table4[[#This Row],[LOG(Cayman Islands)]]-J3</f>
        <v>2.1607667915299444E-2</v>
      </c>
      <c r="L4" s="8">
        <f>LN(Table4[[#This Row],[EGY]])</f>
        <v>7.0200834639555572</v>
      </c>
      <c r="M4" s="8">
        <f>Table4[[#This Row],[LOG(Egypt)]]-L3</f>
        <v>3.936586883300297E-2</v>
      </c>
      <c r="N4" s="8">
        <f>LN(Table4[[#This Row],[SAU]])</f>
        <v>10.116977053101884</v>
      </c>
      <c r="O4" s="8">
        <f>Table4[[#This Row],[LOG(Saudi Arabia)]]-N3</f>
        <v>0.12385585639259844</v>
      </c>
      <c r="P4" s="9">
        <f>$AC$17+$AC$18*Table4[[#This Row],[DecDate]]+$AC$19*Table4[[#This Row],[DecDate^2]]</f>
        <v>9.5529014287958489</v>
      </c>
      <c r="Q4" s="9">
        <f>$AC$37+$AC$38*Table4[[#This Row],[DecDate]]+$AC$39*Table4[[#This Row],[DecDate^2]]</f>
        <v>10.187205975730649</v>
      </c>
      <c r="R4" s="9">
        <f>$W$57+$W$58*Table4[[#This Row],[DecDate]]+$W$59*Table4[[#This Row],[DecDate^2]]</f>
        <v>6.9267054365534477</v>
      </c>
      <c r="S4" s="9">
        <f>$W$77+$W$78*Table4[[#This Row],[DecDate]]+$W$79*Table4[[#This Row],[DecDate^2]]</f>
        <v>10.401690811272601</v>
      </c>
      <c r="T4" s="9">
        <f>Table4[[#This Row],[LOG(Bahamas)]]-Table4[[#This Row],[Trend(Bahamas)]]</f>
        <v>0.10270216181839054</v>
      </c>
      <c r="U4" s="9">
        <f>Table4[[#This Row],[LOG(Cayman Islands)]]-Table4[[#This Row],[Trend(Cayman Island)]]</f>
        <v>2.6402739823492283E-3</v>
      </c>
      <c r="V4" s="9">
        <f>Table4[[#This Row],[LOG(Egypt)]]-Table4[[#This Row],[Trend(Egypt)]]</f>
        <v>9.3378027402109431E-2</v>
      </c>
      <c r="W4" s="9">
        <f>Table4[[#This Row],[LOG(Saudi Arabia)]]-Table4[[#This Row],[Trend(Saudi Arabia)]]</f>
        <v>-0.28471375817071731</v>
      </c>
      <c r="X4" s="9"/>
      <c r="Y4" s="9" t="e" vm="3">
        <v>#VALUE!</v>
      </c>
      <c r="Z4">
        <f>AVERAGE(M3:M49)</f>
        <v>4.7804705034918113E-2</v>
      </c>
      <c r="AB4" s="1" t="s">
        <v>9</v>
      </c>
      <c r="AC4" s="1">
        <v>0.91117730888464243</v>
      </c>
    </row>
    <row r="5" spans="1:36" x14ac:dyDescent="0.35">
      <c r="A5">
        <v>1973</v>
      </c>
      <c r="B5">
        <f>Table4[[#This Row],[Year]]+0.5</f>
        <v>1973.5</v>
      </c>
      <c r="C5">
        <f>Table4[[#This Row],[DecDate]]*Table4[[#This Row],[DecDate]]</f>
        <v>3894702.25</v>
      </c>
      <c r="D5" s="8">
        <v>16224.37</v>
      </c>
      <c r="E5" s="8">
        <v>28623.29</v>
      </c>
      <c r="F5" s="8">
        <v>1104.3499999999999</v>
      </c>
      <c r="G5" s="8">
        <v>27344.5</v>
      </c>
      <c r="H5" s="8">
        <f>LN(Table4[[#This Row],[BHS]])</f>
        <v>9.6942697118507848</v>
      </c>
      <c r="I5" s="8">
        <f>Table4[[#This Row],[LOG(Bahamas)]]-H4</f>
        <v>3.8666121236545337E-2</v>
      </c>
      <c r="J5" s="8">
        <f>LN(Table4[[#This Row],[CYM]])</f>
        <v>10.261976001080889</v>
      </c>
      <c r="K5" s="8">
        <f>Table4[[#This Row],[LOG(Cayman Islands)]]-J4</f>
        <v>7.2129751367890904E-2</v>
      </c>
      <c r="L5" s="8">
        <f>LN(Table4[[#This Row],[EGY]])</f>
        <v>7.0070122055794775</v>
      </c>
      <c r="M5" s="8">
        <f>Table4[[#This Row],[LOG(Egypt)]]-L4</f>
        <v>-1.3071258376079697E-2</v>
      </c>
      <c r="N5" s="8">
        <f>LN(Table4[[#This Row],[SAU]])</f>
        <v>10.216270690735296</v>
      </c>
      <c r="O5" s="8">
        <f>Table4[[#This Row],[LOG(Saudi Arabia)]]-N4</f>
        <v>9.9293637633412146E-2</v>
      </c>
      <c r="P5" s="9">
        <f>$AC$17+$AC$18*Table4[[#This Row],[DecDate]]+$AC$19*Table4[[#This Row],[DecDate^2]]</f>
        <v>9.5948253766810012</v>
      </c>
      <c r="Q5" s="9">
        <f>$AC$37+$AC$38*Table4[[#This Row],[DecDate]]+$AC$39*Table4[[#This Row],[DecDate^2]]</f>
        <v>10.243055363830535</v>
      </c>
      <c r="R5" s="9">
        <f>$W$57+$W$58*Table4[[#This Row],[DecDate]]+$W$59*Table4[[#This Row],[DecDate^2]]</f>
        <v>6.9683101091186472</v>
      </c>
      <c r="S5" s="9">
        <f>$W$77+$W$78*Table4[[#This Row],[DecDate]]+$W$79*Table4[[#This Row],[DecDate^2]]</f>
        <v>10.345061573750172</v>
      </c>
      <c r="T5" s="9">
        <f>Table4[[#This Row],[LOG(Bahamas)]]-Table4[[#This Row],[Trend(Bahamas)]]</f>
        <v>9.9444335169783571E-2</v>
      </c>
      <c r="U5" s="9">
        <f>Table4[[#This Row],[LOG(Cayman Islands)]]-Table4[[#This Row],[Trend(Cayman Island)]]</f>
        <v>1.8920637250353423E-2</v>
      </c>
      <c r="V5" s="9">
        <f>Table4[[#This Row],[LOG(Egypt)]]-Table4[[#This Row],[Trend(Egypt)]]</f>
        <v>3.8702096460830226E-2</v>
      </c>
      <c r="W5" s="9">
        <f>Table4[[#This Row],[LOG(Saudi Arabia)]]-Table4[[#This Row],[Trend(Saudi Arabia)]]</f>
        <v>-0.12879088301487585</v>
      </c>
      <c r="X5" s="9"/>
      <c r="Y5" s="9" t="e" vm="4">
        <v>#VALUE!</v>
      </c>
      <c r="Z5">
        <f>AVERAGE(O3:O49)</f>
        <v>1.6204875375974859E-2</v>
      </c>
      <c r="AB5" s="1" t="s">
        <v>10</v>
      </c>
      <c r="AC5" s="1">
        <v>0.83024408822625917</v>
      </c>
    </row>
    <row r="6" spans="1:36" x14ac:dyDescent="0.35">
      <c r="A6">
        <v>1974</v>
      </c>
      <c r="B6">
        <f>Table4[[#This Row],[Year]]+0.5</f>
        <v>1974.5</v>
      </c>
      <c r="C6">
        <f>Table4[[#This Row],[DecDate]]*Table4[[#This Row],[DecDate]]</f>
        <v>3898650.25</v>
      </c>
      <c r="D6" s="8">
        <v>12803.84</v>
      </c>
      <c r="E6" s="8">
        <v>29509.69</v>
      </c>
      <c r="F6" s="8">
        <v>1194.05</v>
      </c>
      <c r="G6" s="8">
        <v>41703.01</v>
      </c>
      <c r="H6" s="8">
        <f>LN(Table4[[#This Row],[BHS]])</f>
        <v>9.457500404916706</v>
      </c>
      <c r="I6" s="8">
        <f>Table4[[#This Row],[LOG(Bahamas)]]-H5</f>
        <v>-0.23676930693407883</v>
      </c>
      <c r="J6" s="8">
        <f>LN(Table4[[#This Row],[CYM]])</f>
        <v>10.29247396296822</v>
      </c>
      <c r="K6" s="8">
        <f>Table4[[#This Row],[LOG(Cayman Islands)]]-J5</f>
        <v>3.0497961887331115E-2</v>
      </c>
      <c r="L6" s="8">
        <f>LN(Table4[[#This Row],[EGY]])</f>
        <v>7.0851061691226711</v>
      </c>
      <c r="M6" s="8">
        <f>Table4[[#This Row],[LOG(Egypt)]]-L5</f>
        <v>7.8093963543193645E-2</v>
      </c>
      <c r="N6" s="8">
        <f>LN(Table4[[#This Row],[SAU]])</f>
        <v>10.638328587436076</v>
      </c>
      <c r="O6" s="8">
        <f>Table4[[#This Row],[LOG(Saudi Arabia)]]-N5</f>
        <v>0.42205789670077998</v>
      </c>
      <c r="P6" s="9">
        <f>$AC$17+$AC$18*Table4[[#This Row],[DecDate]]+$AC$19*Table4[[#This Row],[DecDate^2]]</f>
        <v>9.6356458755562926</v>
      </c>
      <c r="Q6" s="9">
        <f>$AC$37+$AC$38*Table4[[#This Row],[DecDate]]+$AC$39*Table4[[#This Row],[DecDate^2]]</f>
        <v>10.297021379352373</v>
      </c>
      <c r="R6" s="9">
        <f>$W$57+$W$58*Table4[[#This Row],[DecDate]]+$W$59*Table4[[#This Row],[DecDate^2]]</f>
        <v>7.010560835452452</v>
      </c>
      <c r="S6" s="9">
        <f>$W$77+$W$78*Table4[[#This Row],[DecDate]]+$W$79*Table4[[#This Row],[DecDate^2]]</f>
        <v>10.291539730878867</v>
      </c>
      <c r="T6" s="9">
        <f>Table4[[#This Row],[LOG(Bahamas)]]-Table4[[#This Row],[Trend(Bahamas)]]</f>
        <v>-0.17814547063958663</v>
      </c>
      <c r="U6" s="9">
        <f>Table4[[#This Row],[LOG(Cayman Islands)]]-Table4[[#This Row],[Trend(Cayman Island)]]</f>
        <v>-4.5474163841525694E-3</v>
      </c>
      <c r="V6" s="9">
        <f>Table4[[#This Row],[LOG(Egypt)]]-Table4[[#This Row],[Trend(Egypt)]]</f>
        <v>7.4545333670219094E-2</v>
      </c>
      <c r="W6" s="9">
        <f>Table4[[#This Row],[LOG(Saudi Arabia)]]-Table4[[#This Row],[Trend(Saudi Arabia)]]</f>
        <v>0.34678885655720926</v>
      </c>
      <c r="X6" s="9"/>
      <c r="Y6" s="9"/>
      <c r="AB6" s="1" t="s">
        <v>11</v>
      </c>
      <c r="AC6" s="1">
        <v>0.82269938103631512</v>
      </c>
    </row>
    <row r="7" spans="1:36" x14ac:dyDescent="0.35">
      <c r="A7">
        <v>1975</v>
      </c>
      <c r="B7">
        <f>Table4[[#This Row],[Year]]+0.5</f>
        <v>1975.5</v>
      </c>
      <c r="C7">
        <f>Table4[[#This Row],[DecDate]]*Table4[[#This Row],[DecDate]]</f>
        <v>3902600.25</v>
      </c>
      <c r="D7" s="8">
        <v>11956.36</v>
      </c>
      <c r="E7" s="8">
        <v>30439.64</v>
      </c>
      <c r="F7" s="8">
        <v>1214.05</v>
      </c>
      <c r="G7" s="8">
        <v>33129.57</v>
      </c>
      <c r="H7" s="8">
        <f>LN(Table4[[#This Row],[BHS]])</f>
        <v>9.3890186333553363</v>
      </c>
      <c r="I7" s="8">
        <f>Table4[[#This Row],[LOG(Bahamas)]]-H6</f>
        <v>-6.8481771561369698E-2</v>
      </c>
      <c r="J7" s="8">
        <f>LN(Table4[[#This Row],[CYM]])</f>
        <v>10.323500985361667</v>
      </c>
      <c r="K7" s="8">
        <f>Table4[[#This Row],[LOG(Cayman Islands)]]-J6</f>
        <v>3.1027022393447012E-2</v>
      </c>
      <c r="L7" s="8">
        <f>LN(Table4[[#This Row],[EGY]])</f>
        <v>7.1017171569327671</v>
      </c>
      <c r="M7" s="8">
        <f>Table4[[#This Row],[LOG(Egypt)]]-L6</f>
        <v>1.6610987810095956E-2</v>
      </c>
      <c r="N7" s="8">
        <f>LN(Table4[[#This Row],[SAU]])</f>
        <v>10.408181516036755</v>
      </c>
      <c r="O7" s="8">
        <f>Table4[[#This Row],[LOG(Saudi Arabia)]]-N6</f>
        <v>-0.23014707139932078</v>
      </c>
      <c r="P7" s="9">
        <f>$AC$17+$AC$18*Table4[[#This Row],[DecDate]]+$AC$19*Table4[[#This Row],[DecDate^2]]</f>
        <v>9.675362925421723</v>
      </c>
      <c r="Q7" s="9">
        <f>$AC$37+$AC$38*Table4[[#This Row],[DecDate]]+$AC$39*Table4[[#This Row],[DecDate^2]]</f>
        <v>10.349104022295251</v>
      </c>
      <c r="R7" s="9">
        <f>$W$57+$W$58*Table4[[#This Row],[DecDate]]+$W$59*Table4[[#This Row],[DecDate^2]]</f>
        <v>7.0534576155557716</v>
      </c>
      <c r="S7" s="9">
        <f>$W$77+$W$78*Table4[[#This Row],[DecDate]]+$W$79*Table4[[#This Row],[DecDate^2]]</f>
        <v>10.241125282661415</v>
      </c>
      <c r="T7" s="9">
        <f>Table4[[#This Row],[LOG(Bahamas)]]-Table4[[#This Row],[Trend(Bahamas)]]</f>
        <v>-0.28634429206638679</v>
      </c>
      <c r="U7" s="9">
        <f>Table4[[#This Row],[LOG(Cayman Islands)]]-Table4[[#This Row],[Trend(Cayman Island)]]</f>
        <v>-2.5603036933583567E-2</v>
      </c>
      <c r="V7" s="9">
        <f>Table4[[#This Row],[LOG(Egypt)]]-Table4[[#This Row],[Trend(Egypt)]]</f>
        <v>4.8259541376995507E-2</v>
      </c>
      <c r="W7" s="9">
        <f>Table4[[#This Row],[LOG(Saudi Arabia)]]-Table4[[#This Row],[Trend(Saudi Arabia)]]</f>
        <v>0.16705623337534092</v>
      </c>
      <c r="X7" s="9"/>
      <c r="Y7" s="9"/>
      <c r="AB7" s="1" t="s">
        <v>12</v>
      </c>
      <c r="AC7" s="1">
        <v>0.12911663726474001</v>
      </c>
    </row>
    <row r="8" spans="1:36" ht="15" thickBot="1" x14ac:dyDescent="0.4">
      <c r="A8">
        <v>1976</v>
      </c>
      <c r="B8">
        <f>Table4[[#This Row],[Year]]+0.5</f>
        <v>1976.5</v>
      </c>
      <c r="C8">
        <f>Table4[[#This Row],[DecDate]]*Table4[[#This Row],[DecDate]]</f>
        <v>3906552.25</v>
      </c>
      <c r="D8" s="8">
        <v>12649.88</v>
      </c>
      <c r="E8" s="8">
        <v>31452.84</v>
      </c>
      <c r="F8" s="8">
        <v>1223.3699999999999</v>
      </c>
      <c r="G8" s="8">
        <v>38693.51</v>
      </c>
      <c r="H8" s="8">
        <f>LN(Table4[[#This Row],[BHS]])</f>
        <v>9.4454030079446643</v>
      </c>
      <c r="I8" s="8">
        <f>Table4[[#This Row],[LOG(Bahamas)]]-H7</f>
        <v>5.638437458932799E-2</v>
      </c>
      <c r="J8" s="8">
        <f>LN(Table4[[#This Row],[CYM]])</f>
        <v>10.356244560118373</v>
      </c>
      <c r="K8" s="8">
        <f>Table4[[#This Row],[LOG(Cayman Islands)]]-J7</f>
        <v>3.2743574756706195E-2</v>
      </c>
      <c r="L8" s="8">
        <f>LN(Table4[[#This Row],[EGY]])</f>
        <v>7.1093646246833755</v>
      </c>
      <c r="M8" s="8">
        <f>Table4[[#This Row],[LOG(Egypt)]]-L7</f>
        <v>7.6474677506084277E-3</v>
      </c>
      <c r="N8" s="8">
        <f>LN(Table4[[#This Row],[SAU]])</f>
        <v>10.563427164696215</v>
      </c>
      <c r="O8" s="8">
        <f>Table4[[#This Row],[LOG(Saudi Arabia)]]-N7</f>
        <v>0.15524564865945933</v>
      </c>
      <c r="P8" s="9">
        <f>$AC$17+$AC$18*Table4[[#This Row],[DecDate]]+$AC$19*Table4[[#This Row],[DecDate^2]]</f>
        <v>9.7139765262763831</v>
      </c>
      <c r="Q8" s="9">
        <f>$AC$37+$AC$38*Table4[[#This Row],[DecDate]]+$AC$39*Table4[[#This Row],[DecDate^2]]</f>
        <v>10.399303292660079</v>
      </c>
      <c r="R8" s="9">
        <f>$W$57+$W$58*Table4[[#This Row],[DecDate]]+$W$59*Table4[[#This Row],[DecDate^2]]</f>
        <v>7.0970004494281511</v>
      </c>
      <c r="S8" s="9">
        <f>$W$77+$W$78*Table4[[#This Row],[DecDate]]+$W$79*Table4[[#This Row],[DecDate^2]]</f>
        <v>10.193818229094177</v>
      </c>
      <c r="T8" s="9">
        <f>Table4[[#This Row],[LOG(Bahamas)]]-Table4[[#This Row],[Trend(Bahamas)]]</f>
        <v>-0.26857351833171883</v>
      </c>
      <c r="U8" s="9">
        <f>Table4[[#This Row],[LOG(Cayman Islands)]]-Table4[[#This Row],[Trend(Cayman Island)]]</f>
        <v>-4.305873254170578E-2</v>
      </c>
      <c r="V8" s="9">
        <f>Table4[[#This Row],[LOG(Egypt)]]-Table4[[#This Row],[Trend(Egypt)]]</f>
        <v>1.2364175255224374E-2</v>
      </c>
      <c r="W8" s="9">
        <f>Table4[[#This Row],[LOG(Saudi Arabia)]]-Table4[[#This Row],[Trend(Saudi Arabia)]]</f>
        <v>0.369608935602038</v>
      </c>
      <c r="X8" s="9"/>
      <c r="Y8" s="9"/>
      <c r="AB8" s="2" t="s">
        <v>13</v>
      </c>
      <c r="AC8" s="2">
        <v>48</v>
      </c>
    </row>
    <row r="9" spans="1:36" x14ac:dyDescent="0.35">
      <c r="A9">
        <v>1977</v>
      </c>
      <c r="B9">
        <f>Table4[[#This Row],[Year]]+0.5</f>
        <v>1977.5</v>
      </c>
      <c r="C9">
        <f>Table4[[#This Row],[DecDate]]*Table4[[#This Row],[DecDate]]</f>
        <v>3910506.25</v>
      </c>
      <c r="D9" s="8">
        <v>14663.99</v>
      </c>
      <c r="E9" s="8">
        <v>32515.52</v>
      </c>
      <c r="F9" s="8">
        <v>1267.4000000000001</v>
      </c>
      <c r="G9" s="8">
        <v>36988.230000000003</v>
      </c>
      <c r="H9" s="8">
        <f>LN(Table4[[#This Row],[BHS]])</f>
        <v>9.5931501075771379</v>
      </c>
      <c r="I9" s="8">
        <f>Table4[[#This Row],[LOG(Bahamas)]]-H8</f>
        <v>0.14774709963247368</v>
      </c>
      <c r="J9" s="8">
        <f>LN(Table4[[#This Row],[CYM]])</f>
        <v>10.389472792794162</v>
      </c>
      <c r="K9" s="8">
        <f>Table4[[#This Row],[LOG(Cayman Islands)]]-J8</f>
        <v>3.3228232675789116E-2</v>
      </c>
      <c r="L9" s="8">
        <f>LN(Table4[[#This Row],[EGY]])</f>
        <v>7.1447228368894162</v>
      </c>
      <c r="M9" s="8">
        <f>Table4[[#This Row],[LOG(Egypt)]]-L8</f>
        <v>3.535821220604074E-2</v>
      </c>
      <c r="N9" s="8">
        <f>LN(Table4[[#This Row],[SAU]])</f>
        <v>10.518355032911137</v>
      </c>
      <c r="O9" s="8">
        <f>Table4[[#This Row],[LOG(Saudi Arabia)]]-N8</f>
        <v>-4.5072131785078184E-2</v>
      </c>
      <c r="P9" s="9">
        <f>$AC$17+$AC$18*Table4[[#This Row],[DecDate]]+$AC$19*Table4[[#This Row],[DecDate^2]]</f>
        <v>9.7514866781202727</v>
      </c>
      <c r="Q9" s="9">
        <f>$AC$37+$AC$38*Table4[[#This Row],[DecDate]]+$AC$39*Table4[[#This Row],[DecDate^2]]</f>
        <v>10.447619190445494</v>
      </c>
      <c r="R9" s="9">
        <f>$W$57+$W$58*Table4[[#This Row],[DecDate]]+$W$59*Table4[[#This Row],[DecDate^2]]</f>
        <v>7.1411893370695907</v>
      </c>
      <c r="S9" s="9">
        <f>$W$77+$W$78*Table4[[#This Row],[DecDate]]+$W$79*Table4[[#This Row],[DecDate^2]]</f>
        <v>10.149618570181701</v>
      </c>
      <c r="T9" s="9">
        <f>Table4[[#This Row],[LOG(Bahamas)]]-Table4[[#This Row],[Trend(Bahamas)]]</f>
        <v>-0.15833657054313477</v>
      </c>
      <c r="U9" s="9">
        <f>Table4[[#This Row],[LOG(Cayman Islands)]]-Table4[[#This Row],[Trend(Cayman Island)]]</f>
        <v>-5.8146397651331228E-2</v>
      </c>
      <c r="V9" s="9">
        <f>Table4[[#This Row],[LOG(Egypt)]]-Table4[[#This Row],[Trend(Egypt)]]</f>
        <v>3.5334998198255363E-3</v>
      </c>
      <c r="W9" s="9">
        <f>Table4[[#This Row],[LOG(Saudi Arabia)]]-Table4[[#This Row],[Trend(Saudi Arabia)]]</f>
        <v>0.36873646272943539</v>
      </c>
      <c r="X9" s="9"/>
      <c r="Y9" s="9"/>
    </row>
    <row r="10" spans="1:36" ht="15" thickBot="1" x14ac:dyDescent="0.4">
      <c r="A10">
        <v>1978</v>
      </c>
      <c r="B10">
        <f>Table4[[#This Row],[Year]]+0.5</f>
        <v>1978.5</v>
      </c>
      <c r="C10">
        <f>Table4[[#This Row],[DecDate]]*Table4[[#This Row],[DecDate]]</f>
        <v>3914462.25</v>
      </c>
      <c r="D10" s="8">
        <v>16800.96</v>
      </c>
      <c r="E10" s="8">
        <v>33745.519999999997</v>
      </c>
      <c r="F10" s="8">
        <v>1298.8699999999999</v>
      </c>
      <c r="G10" s="8">
        <v>34332.81</v>
      </c>
      <c r="H10" s="8">
        <f>LN(Table4[[#This Row],[BHS]])</f>
        <v>9.7291913066159026</v>
      </c>
      <c r="I10" s="8">
        <f>Table4[[#This Row],[LOG(Bahamas)]]-H9</f>
        <v>0.13604119903876466</v>
      </c>
      <c r="J10" s="8">
        <f>LN(Table4[[#This Row],[CYM]])</f>
        <v>10.426602946749103</v>
      </c>
      <c r="K10" s="8">
        <f>Table4[[#This Row],[LOG(Cayman Islands)]]-J9</f>
        <v>3.7130153954940681E-2</v>
      </c>
      <c r="L10" s="8">
        <f>LN(Table4[[#This Row],[EGY]])</f>
        <v>7.1692499346802698</v>
      </c>
      <c r="M10" s="8">
        <f>Table4[[#This Row],[LOG(Egypt)]]-L9</f>
        <v>2.4527097790853603E-2</v>
      </c>
      <c r="N10" s="8">
        <f>LN(Table4[[#This Row],[SAU]])</f>
        <v>10.443856735709046</v>
      </c>
      <c r="O10" s="8">
        <f>Table4[[#This Row],[LOG(Saudi Arabia)]]-N9</f>
        <v>-7.4498297202090669E-2</v>
      </c>
      <c r="P10" s="9">
        <f>$AC$17+$AC$18*Table4[[#This Row],[DecDate]]+$AC$19*Table4[[#This Row],[DecDate^2]]</f>
        <v>9.7878933809543014</v>
      </c>
      <c r="Q10" s="9">
        <f>$AC$37+$AC$38*Table4[[#This Row],[DecDate]]+$AC$39*Table4[[#This Row],[DecDate^2]]</f>
        <v>10.494051715653313</v>
      </c>
      <c r="R10" s="9">
        <f>$W$57+$W$58*Table4[[#This Row],[DecDate]]+$W$59*Table4[[#This Row],[DecDate^2]]</f>
        <v>7.1860242784803177</v>
      </c>
      <c r="S10" s="9">
        <f>$W$77+$W$78*Table4[[#This Row],[DecDate]]+$W$79*Table4[[#This Row],[DecDate^2]]</f>
        <v>10.10852630591944</v>
      </c>
      <c r="T10" s="9">
        <f>Table4[[#This Row],[LOG(Bahamas)]]-Table4[[#This Row],[Trend(Bahamas)]]</f>
        <v>-5.8702074338398802E-2</v>
      </c>
      <c r="U10" s="9">
        <f>Table4[[#This Row],[LOG(Cayman Islands)]]-Table4[[#This Row],[Trend(Cayman Island)]]</f>
        <v>-6.7448768904210255E-2</v>
      </c>
      <c r="V10" s="9">
        <f>Table4[[#This Row],[LOG(Egypt)]]-Table4[[#This Row],[Trend(Egypt)]]</f>
        <v>-1.6774343800047831E-2</v>
      </c>
      <c r="W10" s="9">
        <f>Table4[[#This Row],[LOG(Saudi Arabia)]]-Table4[[#This Row],[Trend(Saudi Arabia)]]</f>
        <v>0.33533042978960559</v>
      </c>
      <c r="X10" s="9"/>
      <c r="Y10" s="9"/>
      <c r="AB10" t="s">
        <v>14</v>
      </c>
    </row>
    <row r="11" spans="1:36" x14ac:dyDescent="0.35">
      <c r="A11">
        <v>1979</v>
      </c>
      <c r="B11">
        <f>Table4[[#This Row],[Year]]+0.5</f>
        <v>1979.5</v>
      </c>
      <c r="C11">
        <f>Table4[[#This Row],[DecDate]]*Table4[[#This Row],[DecDate]]</f>
        <v>3918420.25</v>
      </c>
      <c r="D11" s="8">
        <v>23327.89</v>
      </c>
      <c r="E11" s="8">
        <v>35297.17</v>
      </c>
      <c r="F11" s="8">
        <v>1261.8399999999999</v>
      </c>
      <c r="G11" s="8">
        <v>33738.949999999997</v>
      </c>
      <c r="H11" s="8">
        <f>LN(Table4[[#This Row],[BHS]])</f>
        <v>10.057404919433756</v>
      </c>
      <c r="I11" s="8">
        <f>Table4[[#This Row],[LOG(Bahamas)]]-H10</f>
        <v>0.32821361281785322</v>
      </c>
      <c r="J11" s="8">
        <f>LN(Table4[[#This Row],[CYM]])</f>
        <v>10.471558069735933</v>
      </c>
      <c r="K11" s="8">
        <f>Table4[[#This Row],[LOG(Cayman Islands)]]-J10</f>
        <v>4.4955122986829466E-2</v>
      </c>
      <c r="L11" s="8">
        <f>LN(Table4[[#This Row],[EGY]])</f>
        <v>7.1403262521792188</v>
      </c>
      <c r="M11" s="8">
        <f>Table4[[#This Row],[LOG(Egypt)]]-L10</f>
        <v>-2.892368250105104E-2</v>
      </c>
      <c r="N11" s="8">
        <f>LN(Table4[[#This Row],[SAU]])</f>
        <v>10.426408235283761</v>
      </c>
      <c r="O11" s="8">
        <f>Table4[[#This Row],[LOG(Saudi Arabia)]]-N10</f>
        <v>-1.7448500425285118E-2</v>
      </c>
      <c r="P11" s="9">
        <f>$AC$17+$AC$18*Table4[[#This Row],[DecDate]]+$AC$19*Table4[[#This Row],[DecDate^2]]</f>
        <v>9.8231966347780144</v>
      </c>
      <c r="Q11" s="9">
        <f>$AC$37+$AC$38*Table4[[#This Row],[DecDate]]+$AC$39*Table4[[#This Row],[DecDate^2]]</f>
        <v>10.538600868281719</v>
      </c>
      <c r="R11" s="9">
        <f>$W$57+$W$58*Table4[[#This Row],[DecDate]]+$W$59*Table4[[#This Row],[DecDate^2]]</f>
        <v>7.2315052736601046</v>
      </c>
      <c r="S11" s="9">
        <f>$W$77+$W$78*Table4[[#This Row],[DecDate]]+$W$79*Table4[[#This Row],[DecDate^2]]</f>
        <v>10.070541436311032</v>
      </c>
      <c r="T11" s="9">
        <f>Table4[[#This Row],[LOG(Bahamas)]]-Table4[[#This Row],[Trend(Bahamas)]]</f>
        <v>0.23420828465574139</v>
      </c>
      <c r="U11" s="9">
        <f>Table4[[#This Row],[LOG(Cayman Islands)]]-Table4[[#This Row],[Trend(Cayman Island)]]</f>
        <v>-6.7042798545786653E-2</v>
      </c>
      <c r="V11" s="9">
        <f>Table4[[#This Row],[LOG(Egypt)]]-Table4[[#This Row],[Trend(Egypt)]]</f>
        <v>-9.1179021480885858E-2</v>
      </c>
      <c r="W11" s="9">
        <f>Table4[[#This Row],[LOG(Saudi Arabia)]]-Table4[[#This Row],[Trend(Saudi Arabia)]]</f>
        <v>0.35586679897272866</v>
      </c>
      <c r="X11" s="9"/>
      <c r="Y11" s="9"/>
      <c r="AB11" s="3"/>
      <c r="AC11" s="3" t="s">
        <v>19</v>
      </c>
      <c r="AD11" s="3" t="s">
        <v>20</v>
      </c>
      <c r="AE11" s="3" t="s">
        <v>21</v>
      </c>
      <c r="AF11" s="3" t="s">
        <v>22</v>
      </c>
      <c r="AG11" s="3" t="s">
        <v>23</v>
      </c>
    </row>
    <row r="12" spans="1:36" x14ac:dyDescent="0.35">
      <c r="A12">
        <v>1980</v>
      </c>
      <c r="B12">
        <f>Table4[[#This Row],[Year]]+0.5</f>
        <v>1980.5</v>
      </c>
      <c r="C12">
        <f>Table4[[#This Row],[DecDate]]*Table4[[#This Row],[DecDate]]</f>
        <v>3922380.25</v>
      </c>
      <c r="D12" s="8">
        <v>22796.17</v>
      </c>
      <c r="E12" s="8">
        <v>36908.99</v>
      </c>
      <c r="F12" s="8">
        <v>1267.24</v>
      </c>
      <c r="G12" s="8">
        <v>34777.71</v>
      </c>
      <c r="H12" s="8">
        <f>LN(Table4[[#This Row],[BHS]])</f>
        <v>10.034347818375759</v>
      </c>
      <c r="I12" s="8">
        <f>Table4[[#This Row],[LOG(Bahamas)]]-H11</f>
        <v>-2.3057101057997187E-2</v>
      </c>
      <c r="J12" s="8">
        <f>LN(Table4[[#This Row],[CYM]])</f>
        <v>10.516210431791613</v>
      </c>
      <c r="K12" s="8">
        <f>Table4[[#This Row],[LOG(Cayman Islands)]]-J11</f>
        <v>4.4652362055680683E-2</v>
      </c>
      <c r="L12" s="8">
        <f>LN(Table4[[#This Row],[EGY]])</f>
        <v>7.1445965862185421</v>
      </c>
      <c r="M12" s="8">
        <f>Table4[[#This Row],[LOG(Egypt)]]-L11</f>
        <v>4.2703340393233091E-3</v>
      </c>
      <c r="N12" s="8">
        <f>LN(Table4[[#This Row],[SAU]])</f>
        <v>10.456731943302383</v>
      </c>
      <c r="O12" s="8">
        <f>Table4[[#This Row],[LOG(Saudi Arabia)]]-N11</f>
        <v>3.0323708018622497E-2</v>
      </c>
      <c r="P12" s="9">
        <f>$AC$17+$AC$18*Table4[[#This Row],[DecDate]]+$AC$19*Table4[[#This Row],[DecDate^2]]</f>
        <v>9.8573964395914118</v>
      </c>
      <c r="Q12" s="9">
        <f>$AC$37+$AC$38*Table4[[#This Row],[DecDate]]+$AC$39*Table4[[#This Row],[DecDate^2]]</f>
        <v>10.58126664833253</v>
      </c>
      <c r="R12" s="9">
        <f>$W$57+$W$58*Table4[[#This Row],[DecDate]]+$W$59*Table4[[#This Row],[DecDate^2]]</f>
        <v>7.2776323226089517</v>
      </c>
      <c r="S12" s="9">
        <f>$W$77+$W$78*Table4[[#This Row],[DecDate]]+$W$79*Table4[[#This Row],[DecDate^2]]</f>
        <v>10.035663961353748</v>
      </c>
      <c r="T12" s="9">
        <f>Table4[[#This Row],[LOG(Bahamas)]]-Table4[[#This Row],[Trend(Bahamas)]]</f>
        <v>0.17695137878434686</v>
      </c>
      <c r="U12" s="9">
        <f>Table4[[#This Row],[LOG(Cayman Islands)]]-Table4[[#This Row],[Trend(Cayman Island)]]</f>
        <v>-6.5056216540916978E-2</v>
      </c>
      <c r="V12" s="9">
        <f>Table4[[#This Row],[LOG(Egypt)]]-Table4[[#This Row],[Trend(Egypt)]]</f>
        <v>-0.13303573639040955</v>
      </c>
      <c r="W12" s="9">
        <f>Table4[[#This Row],[LOG(Saudi Arabia)]]-Table4[[#This Row],[Trend(Saudi Arabia)]]</f>
        <v>0.42106798194863515</v>
      </c>
      <c r="X12" s="9"/>
      <c r="Y12" s="9"/>
      <c r="AB12" s="1" t="s">
        <v>15</v>
      </c>
      <c r="AC12" s="1">
        <v>2</v>
      </c>
      <c r="AD12" s="1">
        <v>3.6690853250199402</v>
      </c>
      <c r="AE12" s="1">
        <v>1.8345426625099701</v>
      </c>
      <c r="AF12" s="1">
        <v>110.04324850841797</v>
      </c>
      <c r="AG12" s="1">
        <v>4.6887860969223173E-18</v>
      </c>
    </row>
    <row r="13" spans="1:36" x14ac:dyDescent="0.35">
      <c r="A13">
        <v>1981</v>
      </c>
      <c r="B13">
        <f>Table4[[#This Row],[Year]]+0.5</f>
        <v>1981.5</v>
      </c>
      <c r="C13">
        <f>Table4[[#This Row],[DecDate]]*Table4[[#This Row],[DecDate]]</f>
        <v>3926342.25</v>
      </c>
      <c r="D13" s="8">
        <v>20404.810000000001</v>
      </c>
      <c r="E13" s="8">
        <v>39078.839999999997</v>
      </c>
      <c r="F13" s="8">
        <v>1414.69</v>
      </c>
      <c r="G13" s="8">
        <v>32983.230000000003</v>
      </c>
      <c r="H13" s="8">
        <f>LN(Table4[[#This Row],[BHS]])</f>
        <v>9.9235259363532808</v>
      </c>
      <c r="I13" s="8">
        <f>Table4[[#This Row],[LOG(Bahamas)]]-H12</f>
        <v>-0.11082188202247778</v>
      </c>
      <c r="J13" s="8">
        <f>LN(Table4[[#This Row],[CYM]])</f>
        <v>10.573336423014029</v>
      </c>
      <c r="K13" s="8">
        <f>Table4[[#This Row],[LOG(Cayman Islands)]]-J12</f>
        <v>5.7125991222415351E-2</v>
      </c>
      <c r="L13" s="8">
        <f>LN(Table4[[#This Row],[EGY]])</f>
        <v>7.254665704803446</v>
      </c>
      <c r="M13" s="8">
        <f>Table4[[#This Row],[LOG(Egypt)]]-L12</f>
        <v>0.11006911858490387</v>
      </c>
      <c r="N13" s="8">
        <f>LN(Table4[[#This Row],[SAU]])</f>
        <v>10.403754529462294</v>
      </c>
      <c r="O13" s="8">
        <f>Table4[[#This Row],[LOG(Saudi Arabia)]]-N12</f>
        <v>-5.2977413840089582E-2</v>
      </c>
      <c r="P13" s="9">
        <f>$AC$17+$AC$18*Table4[[#This Row],[DecDate]]+$AC$19*Table4[[#This Row],[DecDate^2]]</f>
        <v>9.8904927953935839</v>
      </c>
      <c r="Q13" s="9">
        <f>$AC$37+$AC$38*Table4[[#This Row],[DecDate]]+$AC$39*Table4[[#This Row],[DecDate^2]]</f>
        <v>10.622049055803927</v>
      </c>
      <c r="R13" s="9">
        <f>$W$57+$W$58*Table4[[#This Row],[DecDate]]+$W$59*Table4[[#This Row],[DecDate^2]]</f>
        <v>7.3244054253268587</v>
      </c>
      <c r="S13" s="9">
        <f>$W$77+$W$78*Table4[[#This Row],[DecDate]]+$W$79*Table4[[#This Row],[DecDate^2]]</f>
        <v>10.003893881050317</v>
      </c>
      <c r="T13" s="9">
        <f>Table4[[#This Row],[LOG(Bahamas)]]-Table4[[#This Row],[Trend(Bahamas)]]</f>
        <v>3.3033140959696894E-2</v>
      </c>
      <c r="U13" s="9">
        <f>Table4[[#This Row],[LOG(Cayman Islands)]]-Table4[[#This Row],[Trend(Cayman Island)]]</f>
        <v>-4.8712632789898791E-2</v>
      </c>
      <c r="V13" s="9">
        <f>Table4[[#This Row],[LOG(Egypt)]]-Table4[[#This Row],[Trend(Egypt)]]</f>
        <v>-6.9739720523412707E-2</v>
      </c>
      <c r="W13" s="9">
        <f>Table4[[#This Row],[LOG(Saudi Arabia)]]-Table4[[#This Row],[Trend(Saudi Arabia)]]</f>
        <v>0.39986064841197688</v>
      </c>
      <c r="X13" s="9"/>
      <c r="Y13" s="9"/>
      <c r="AB13" s="1" t="s">
        <v>16</v>
      </c>
      <c r="AC13" s="1">
        <v>45</v>
      </c>
      <c r="AD13" s="1">
        <v>0.75019977083495037</v>
      </c>
      <c r="AE13" s="1">
        <v>1.6671106018554451E-2</v>
      </c>
      <c r="AF13" s="1"/>
      <c r="AG13" s="1"/>
    </row>
    <row r="14" spans="1:36" ht="15" thickBot="1" x14ac:dyDescent="0.4">
      <c r="A14">
        <v>1982</v>
      </c>
      <c r="B14">
        <f>Table4[[#This Row],[Year]]+0.5</f>
        <v>1982.5</v>
      </c>
      <c r="C14">
        <f>Table4[[#This Row],[DecDate]]*Table4[[#This Row],[DecDate]]</f>
        <v>3930306.25</v>
      </c>
      <c r="D14" s="8">
        <v>19109.77</v>
      </c>
      <c r="E14" s="8">
        <v>41520.160000000003</v>
      </c>
      <c r="F14" s="8">
        <v>1388.58</v>
      </c>
      <c r="G14" s="8">
        <v>27211.09</v>
      </c>
      <c r="H14" s="8">
        <f>LN(Table4[[#This Row],[BHS]])</f>
        <v>9.8579550015784267</v>
      </c>
      <c r="I14" s="8">
        <f>Table4[[#This Row],[LOG(Bahamas)]]-H13</f>
        <v>-6.5570934774854095E-2</v>
      </c>
      <c r="J14" s="8">
        <f>LN(Table4[[#This Row],[CYM]])</f>
        <v>10.633934371396892</v>
      </c>
      <c r="K14" s="8">
        <f>Table4[[#This Row],[LOG(Cayman Islands)]]-J13</f>
        <v>6.0597948382863365E-2</v>
      </c>
      <c r="L14" s="8">
        <f>LN(Table4[[#This Row],[EGY]])</f>
        <v>7.2360369212196254</v>
      </c>
      <c r="M14" s="8">
        <f>Table4[[#This Row],[LOG(Egypt)]]-L13</f>
        <v>-1.8628783583820585E-2</v>
      </c>
      <c r="N14" s="8">
        <f>LN(Table4[[#This Row],[SAU]])</f>
        <v>10.21137988977687</v>
      </c>
      <c r="O14" s="8">
        <f>Table4[[#This Row],[LOG(Saudi Arabia)]]-N13</f>
        <v>-0.19237463968542379</v>
      </c>
      <c r="P14" s="9">
        <f>$AC$17+$AC$18*Table4[[#This Row],[DecDate]]+$AC$19*Table4[[#This Row],[DecDate^2]]</f>
        <v>9.92248570218635</v>
      </c>
      <c r="Q14" s="9">
        <f>$AC$37+$AC$38*Table4[[#This Row],[DecDate]]+$AC$39*Table4[[#This Row],[DecDate^2]]</f>
        <v>10.66094809069773</v>
      </c>
      <c r="R14" s="9">
        <f>$W$57+$W$58*Table4[[#This Row],[DecDate]]+$W$59*Table4[[#This Row],[DecDate^2]]</f>
        <v>7.3718245818140531</v>
      </c>
      <c r="S14" s="9">
        <f>$W$77+$W$78*Table4[[#This Row],[DecDate]]+$W$79*Table4[[#This Row],[DecDate^2]]</f>
        <v>9.9752311953980097</v>
      </c>
      <c r="T14" s="9">
        <f>Table4[[#This Row],[LOG(Bahamas)]]-Table4[[#This Row],[Trend(Bahamas)]]</f>
        <v>-6.4530700607923208E-2</v>
      </c>
      <c r="U14" s="9">
        <f>Table4[[#This Row],[LOG(Cayman Islands)]]-Table4[[#This Row],[Trend(Cayman Island)]]</f>
        <v>-2.7013719300837735E-2</v>
      </c>
      <c r="V14" s="9">
        <f>Table4[[#This Row],[LOG(Egypt)]]-Table4[[#This Row],[Trend(Egypt)]]</f>
        <v>-0.13578766059442771</v>
      </c>
      <c r="W14" s="9">
        <f>Table4[[#This Row],[LOG(Saudi Arabia)]]-Table4[[#This Row],[Trend(Saudi Arabia)]]</f>
        <v>0.23614869437886021</v>
      </c>
      <c r="X14" s="9"/>
      <c r="Y14" s="9"/>
      <c r="AB14" s="2" t="s">
        <v>17</v>
      </c>
      <c r="AC14" s="2">
        <v>47</v>
      </c>
      <c r="AD14" s="2">
        <v>4.4192850958548906</v>
      </c>
      <c r="AE14" s="2"/>
      <c r="AF14" s="2"/>
      <c r="AG14" s="2"/>
    </row>
    <row r="15" spans="1:36" ht="15" thickBot="1" x14ac:dyDescent="0.4">
      <c r="A15">
        <v>1983</v>
      </c>
      <c r="B15">
        <f>Table4[[#This Row],[Year]]+0.5</f>
        <v>1983.5</v>
      </c>
      <c r="C15">
        <f>Table4[[#This Row],[DecDate]]*Table4[[#This Row],[DecDate]]</f>
        <v>3934272.25</v>
      </c>
      <c r="D15" s="8">
        <v>18486.740000000002</v>
      </c>
      <c r="E15" s="8">
        <v>45646.64</v>
      </c>
      <c r="F15" s="8">
        <v>1559.56</v>
      </c>
      <c r="G15" s="8">
        <v>24001.01</v>
      </c>
      <c r="H15" s="8">
        <f>LN(Table4[[#This Row],[BHS]])</f>
        <v>9.8248089973167279</v>
      </c>
      <c r="I15" s="8">
        <f>Table4[[#This Row],[LOG(Bahamas)]]-H14</f>
        <v>-3.3146004261698891E-2</v>
      </c>
      <c r="J15" s="8">
        <f>LN(Table4[[#This Row],[CYM]])</f>
        <v>10.728685279809314</v>
      </c>
      <c r="K15" s="8">
        <f>Table4[[#This Row],[LOG(Cayman Islands)]]-J14</f>
        <v>9.4750908412422064E-2</v>
      </c>
      <c r="L15" s="8">
        <f>LN(Table4[[#This Row],[EGY]])</f>
        <v>7.3521590091775879</v>
      </c>
      <c r="M15" s="8">
        <f>Table4[[#This Row],[LOG(Egypt)]]-L14</f>
        <v>0.11612208795796253</v>
      </c>
      <c r="N15" s="8">
        <f>LN(Table4[[#This Row],[SAU]])</f>
        <v>10.085851191777937</v>
      </c>
      <c r="O15" s="8">
        <f>Table4[[#This Row],[LOG(Saudi Arabia)]]-N14</f>
        <v>-0.12552869799893251</v>
      </c>
      <c r="P15" s="9">
        <f>$AC$17+$AC$18*Table4[[#This Row],[DecDate]]+$AC$19*Table4[[#This Row],[DecDate^2]]</f>
        <v>9.9533751599688003</v>
      </c>
      <c r="Q15" s="9">
        <f>$AC$37+$AC$38*Table4[[#This Row],[DecDate]]+$AC$39*Table4[[#This Row],[DecDate^2]]</f>
        <v>10.697963753011663</v>
      </c>
      <c r="R15" s="9">
        <f>$W$57+$W$58*Table4[[#This Row],[DecDate]]+$W$59*Table4[[#This Row],[DecDate^2]]</f>
        <v>7.4198897920703075</v>
      </c>
      <c r="S15" s="9">
        <f>$W$77+$W$78*Table4[[#This Row],[DecDate]]+$W$79*Table4[[#This Row],[DecDate^2]]</f>
        <v>9.9496759043995553</v>
      </c>
      <c r="T15" s="9">
        <f>Table4[[#This Row],[LOG(Bahamas)]]-Table4[[#This Row],[Trend(Bahamas)]]</f>
        <v>-0.12856616265207244</v>
      </c>
      <c r="U15" s="9">
        <f>Table4[[#This Row],[LOG(Cayman Islands)]]-Table4[[#This Row],[Trend(Cayman Island)]]</f>
        <v>3.0721526797650611E-2</v>
      </c>
      <c r="V15" s="9">
        <f>Table4[[#This Row],[LOG(Egypt)]]-Table4[[#This Row],[Trend(Egypt)]]</f>
        <v>-6.773078289271961E-2</v>
      </c>
      <c r="W15" s="9">
        <f>Table4[[#This Row],[LOG(Saudi Arabia)]]-Table4[[#This Row],[Trend(Saudi Arabia)]]</f>
        <v>0.13617528737838214</v>
      </c>
      <c r="X15" s="9"/>
      <c r="Y15" s="9"/>
    </row>
    <row r="16" spans="1:36" x14ac:dyDescent="0.35">
      <c r="A16">
        <v>1984</v>
      </c>
      <c r="B16">
        <f>Table4[[#This Row],[Year]]+0.5</f>
        <v>1984.5</v>
      </c>
      <c r="C16">
        <f>Table4[[#This Row],[DecDate]]*Table4[[#This Row],[DecDate]]</f>
        <v>3938240.25</v>
      </c>
      <c r="D16" s="8">
        <v>21192.95</v>
      </c>
      <c r="E16" s="8">
        <v>47976.58</v>
      </c>
      <c r="F16" s="8">
        <v>1720.33</v>
      </c>
      <c r="G16" s="8">
        <v>21548.57</v>
      </c>
      <c r="H16" s="8">
        <f>LN(Table4[[#This Row],[BHS]])</f>
        <v>9.9614238581842205</v>
      </c>
      <c r="I16" s="8">
        <f>Table4[[#This Row],[LOG(Bahamas)]]-H15</f>
        <v>0.13661486086749264</v>
      </c>
      <c r="J16" s="8">
        <f>LN(Table4[[#This Row],[CYM]])</f>
        <v>10.778468254153292</v>
      </c>
      <c r="K16" s="8">
        <f>Table4[[#This Row],[LOG(Cayman Islands)]]-J15</f>
        <v>4.9782974343978381E-2</v>
      </c>
      <c r="L16" s="8">
        <f>LN(Table4[[#This Row],[EGY]])</f>
        <v>7.4502714118697497</v>
      </c>
      <c r="M16" s="8">
        <f>Table4[[#This Row],[LOG(Egypt)]]-L15</f>
        <v>9.8112402692161815E-2</v>
      </c>
      <c r="N16" s="8">
        <f>LN(Table4[[#This Row],[SAU]])</f>
        <v>9.9780647360215653</v>
      </c>
      <c r="O16" s="8">
        <f>Table4[[#This Row],[LOG(Saudi Arabia)]]-N15</f>
        <v>-0.10778645575637213</v>
      </c>
      <c r="P16" s="9">
        <f>$AC$17+$AC$18*Table4[[#This Row],[DecDate]]+$AC$19*Table4[[#This Row],[DecDate^2]]</f>
        <v>9.9831611687404802</v>
      </c>
      <c r="Q16" s="9">
        <f>$AC$37+$AC$38*Table4[[#This Row],[DecDate]]+$AC$39*Table4[[#This Row],[DecDate^2]]</f>
        <v>10.733096042748457</v>
      </c>
      <c r="R16" s="9">
        <f>$W$57+$W$58*Table4[[#This Row],[DecDate]]+$W$59*Table4[[#This Row],[DecDate^2]]</f>
        <v>7.4686010560949398</v>
      </c>
      <c r="S16" s="9">
        <f>$W$77+$W$78*Table4[[#This Row],[DecDate]]+$W$79*Table4[[#This Row],[DecDate^2]]</f>
        <v>9.9272280080513156</v>
      </c>
      <c r="T16" s="9">
        <f>Table4[[#This Row],[LOG(Bahamas)]]-Table4[[#This Row],[Trend(Bahamas)]]</f>
        <v>-2.1737310556259715E-2</v>
      </c>
      <c r="U16" s="9">
        <f>Table4[[#This Row],[LOG(Cayman Islands)]]-Table4[[#This Row],[Trend(Cayman Island)]]</f>
        <v>4.5372211404835383E-2</v>
      </c>
      <c r="V16" s="9">
        <f>Table4[[#This Row],[LOG(Egypt)]]-Table4[[#This Row],[Trend(Egypt)]]</f>
        <v>-1.8329644225190123E-2</v>
      </c>
      <c r="W16" s="9">
        <f>Table4[[#This Row],[LOG(Saudi Arabia)]]-Table4[[#This Row],[Trend(Saudi Arabia)]]</f>
        <v>5.083672797024974E-2</v>
      </c>
      <c r="X16" s="9"/>
      <c r="Y16" s="9"/>
      <c r="AB16" s="3"/>
      <c r="AC16" s="3" t="s">
        <v>24</v>
      </c>
      <c r="AD16" s="3" t="s">
        <v>12</v>
      </c>
      <c r="AE16" s="3" t="s">
        <v>25</v>
      </c>
      <c r="AF16" s="3" t="s">
        <v>26</v>
      </c>
      <c r="AG16" s="3" t="s">
        <v>27</v>
      </c>
      <c r="AH16" s="3" t="s">
        <v>28</v>
      </c>
      <c r="AI16" s="3" t="s">
        <v>29</v>
      </c>
      <c r="AJ16" s="3" t="s">
        <v>30</v>
      </c>
    </row>
    <row r="17" spans="1:36" x14ac:dyDescent="0.35">
      <c r="A17">
        <v>1985</v>
      </c>
      <c r="B17">
        <f>Table4[[#This Row],[Year]]+0.5</f>
        <v>1985.5</v>
      </c>
      <c r="C17">
        <f>Table4[[#This Row],[DecDate]]*Table4[[#This Row],[DecDate]]</f>
        <v>3942210.25</v>
      </c>
      <c r="D17" s="8">
        <v>23313.49</v>
      </c>
      <c r="E17" s="8">
        <v>45938.55</v>
      </c>
      <c r="F17" s="8">
        <v>1793.6</v>
      </c>
      <c r="G17" s="8">
        <v>17652.04</v>
      </c>
      <c r="H17" s="8">
        <f>LN(Table4[[#This Row],[BHS]])</f>
        <v>10.056787441972432</v>
      </c>
      <c r="I17" s="8">
        <f>Table4[[#This Row],[LOG(Bahamas)]]-H16</f>
        <v>9.5363583788211415E-2</v>
      </c>
      <c r="J17" s="8">
        <f>LN(Table4[[#This Row],[CYM]])</f>
        <v>10.73505991283683</v>
      </c>
      <c r="K17" s="8">
        <f>Table4[[#This Row],[LOG(Cayman Islands)]]-J16</f>
        <v>-4.340834131646254E-2</v>
      </c>
      <c r="L17" s="8">
        <f>LN(Table4[[#This Row],[EGY]])</f>
        <v>7.4919800523178957</v>
      </c>
      <c r="M17" s="8">
        <f>Table4[[#This Row],[LOG(Egypt)]]-L16</f>
        <v>4.1708640448145928E-2</v>
      </c>
      <c r="N17" s="8">
        <f>LN(Table4[[#This Row],[SAU]])</f>
        <v>9.7786066364190489</v>
      </c>
      <c r="O17" s="8">
        <f>Table4[[#This Row],[LOG(Saudi Arabia)]]-N16</f>
        <v>-0.19945809960251637</v>
      </c>
      <c r="P17" s="9">
        <f>$AC$17+$AC$18*Table4[[#This Row],[DecDate]]+$AC$19*Table4[[#This Row],[DecDate^2]]</f>
        <v>10.01184372850139</v>
      </c>
      <c r="Q17" s="9">
        <f>$AC$37+$AC$38*Table4[[#This Row],[DecDate]]+$AC$39*Table4[[#This Row],[DecDate^2]]</f>
        <v>10.766344959905382</v>
      </c>
      <c r="R17" s="9">
        <f>$W$57+$W$58*Table4[[#This Row],[DecDate]]+$W$59*Table4[[#This Row],[DecDate^2]]</f>
        <v>7.5179583738895417</v>
      </c>
      <c r="S17" s="9">
        <f>$W$77+$W$78*Table4[[#This Row],[DecDate]]+$W$79*Table4[[#This Row],[DecDate^2]]</f>
        <v>9.907887506357838</v>
      </c>
      <c r="T17" s="9">
        <f>Table4[[#This Row],[LOG(Bahamas)]]-Table4[[#This Row],[Trend(Bahamas)]]</f>
        <v>4.4943713471042201E-2</v>
      </c>
      <c r="U17" s="9">
        <f>Table4[[#This Row],[LOG(Cayman Islands)]]-Table4[[#This Row],[Trend(Cayman Island)]]</f>
        <v>-3.1285047068552174E-2</v>
      </c>
      <c r="V17" s="9">
        <f>Table4[[#This Row],[LOG(Egypt)]]-Table4[[#This Row],[Trend(Egypt)]]</f>
        <v>-2.5978321571646035E-2</v>
      </c>
      <c r="W17" s="9">
        <f>Table4[[#This Row],[LOG(Saudi Arabia)]]-Table4[[#This Row],[Trend(Saudi Arabia)]]</f>
        <v>-0.12928086993878907</v>
      </c>
      <c r="X17" s="9"/>
      <c r="Y17" s="9"/>
      <c r="AB17" s="1" t="s">
        <v>18</v>
      </c>
      <c r="AC17" s="1">
        <v>-2220.8559291914726</v>
      </c>
      <c r="AD17" s="1">
        <v>431.94124280877128</v>
      </c>
      <c r="AE17" s="1">
        <v>-5.1415695217015625</v>
      </c>
      <c r="AF17" s="1">
        <v>5.7333594288428383E-6</v>
      </c>
      <c r="AG17" s="1">
        <v>-3090.8302501300232</v>
      </c>
      <c r="AH17" s="1">
        <v>-1350.881608252922</v>
      </c>
      <c r="AI17" s="1">
        <v>-3090.8302501300232</v>
      </c>
      <c r="AJ17" s="1">
        <v>-1350.881608252922</v>
      </c>
    </row>
    <row r="18" spans="1:36" x14ac:dyDescent="0.35">
      <c r="A18">
        <v>1986</v>
      </c>
      <c r="B18">
        <f>Table4[[#This Row],[Year]]+0.5</f>
        <v>1986.5</v>
      </c>
      <c r="C18">
        <f>Table4[[#This Row],[DecDate]]*Table4[[#This Row],[DecDate]]</f>
        <v>3946182.25</v>
      </c>
      <c r="D18" s="8">
        <v>23808.880000000001</v>
      </c>
      <c r="E18" s="8">
        <v>48437.5</v>
      </c>
      <c r="F18" s="8">
        <v>1763.28</v>
      </c>
      <c r="G18" s="8">
        <v>17222.169999999998</v>
      </c>
      <c r="H18" s="8">
        <f>LN(Table4[[#This Row],[BHS]])</f>
        <v>10.077813899315318</v>
      </c>
      <c r="I18" s="8">
        <f>Table4[[#This Row],[LOG(Bahamas)]]-H17</f>
        <v>2.1026457342886218E-2</v>
      </c>
      <c r="J18" s="8">
        <f>LN(Table4[[#This Row],[CYM]])</f>
        <v>10.788029586095703</v>
      </c>
      <c r="K18" s="8">
        <f>Table4[[#This Row],[LOG(Cayman Islands)]]-J17</f>
        <v>5.2969673258873584E-2</v>
      </c>
      <c r="L18" s="8">
        <f>LN(Table4[[#This Row],[EGY]])</f>
        <v>7.4749309899801313</v>
      </c>
      <c r="M18" s="8">
        <f>Table4[[#This Row],[LOG(Egypt)]]-L17</f>
        <v>-1.7049062337764376E-2</v>
      </c>
      <c r="N18" s="8">
        <f>LN(Table4[[#This Row],[SAU]])</f>
        <v>9.7539527863025022</v>
      </c>
      <c r="O18" s="8">
        <f>Table4[[#This Row],[LOG(Saudi Arabia)]]-N17</f>
        <v>-2.4653850116546749E-2</v>
      </c>
      <c r="P18" s="9">
        <f>$AC$17+$AC$18*Table4[[#This Row],[DecDate]]+$AC$19*Table4[[#This Row],[DecDate^2]]</f>
        <v>10.039422839252438</v>
      </c>
      <c r="Q18" s="9">
        <f>$AC$37+$AC$38*Table4[[#This Row],[DecDate]]+$AC$39*Table4[[#This Row],[DecDate^2]]</f>
        <v>10.797710504485167</v>
      </c>
      <c r="R18" s="9">
        <f>$W$57+$W$58*Table4[[#This Row],[DecDate]]+$W$59*Table4[[#This Row],[DecDate^2]]</f>
        <v>7.5679617454529762</v>
      </c>
      <c r="S18" s="9">
        <f>$W$77+$W$78*Table4[[#This Row],[DecDate]]+$W$79*Table4[[#This Row],[DecDate^2]]</f>
        <v>9.8916543993145751</v>
      </c>
      <c r="T18" s="9">
        <f>Table4[[#This Row],[LOG(Bahamas)]]-Table4[[#This Row],[Trend(Bahamas)]]</f>
        <v>3.8391060062879845E-2</v>
      </c>
      <c r="U18" s="9">
        <f>Table4[[#This Row],[LOG(Cayman Islands)]]-Table4[[#This Row],[Trend(Cayman Island)]]</f>
        <v>-9.6809183894634998E-3</v>
      </c>
      <c r="V18" s="9">
        <f>Table4[[#This Row],[LOG(Egypt)]]-Table4[[#This Row],[Trend(Egypt)]]</f>
        <v>-9.3030755472844895E-2</v>
      </c>
      <c r="W18" s="9">
        <f>Table4[[#This Row],[LOG(Saudi Arabia)]]-Table4[[#This Row],[Trend(Saudi Arabia)]]</f>
        <v>-0.13770161301207295</v>
      </c>
      <c r="X18" s="9"/>
      <c r="Y18" s="9"/>
      <c r="AB18" s="1" t="s">
        <v>31</v>
      </c>
      <c r="AC18" s="1">
        <v>2.2190288453482316</v>
      </c>
      <c r="AD18" s="1">
        <v>0.43325561184792505</v>
      </c>
      <c r="AE18" s="1">
        <v>5.1217544208685801</v>
      </c>
      <c r="AF18" s="1">
        <v>6.1266135629628467E-6</v>
      </c>
      <c r="AG18" s="1">
        <v>1.3464072492736814</v>
      </c>
      <c r="AH18" s="1">
        <v>3.0916504414227819</v>
      </c>
      <c r="AI18" s="1">
        <v>1.3464072492736814</v>
      </c>
      <c r="AJ18" s="1">
        <v>3.0916504414227819</v>
      </c>
    </row>
    <row r="19" spans="1:36" ht="15" thickBot="1" x14ac:dyDescent="0.4">
      <c r="A19">
        <v>1987</v>
      </c>
      <c r="B19">
        <f>Table4[[#This Row],[Year]]+0.5</f>
        <v>1987.5</v>
      </c>
      <c r="C19">
        <f>Table4[[#This Row],[DecDate]]*Table4[[#This Row],[DecDate]]</f>
        <v>3950156.25</v>
      </c>
      <c r="D19" s="8">
        <v>23922.21</v>
      </c>
      <c r="E19" s="8">
        <v>49926.38</v>
      </c>
      <c r="F19" s="8">
        <v>1768.07</v>
      </c>
      <c r="G19" s="8">
        <v>15662.98</v>
      </c>
      <c r="H19" s="8">
        <f>LN(Table4[[#This Row],[BHS]])</f>
        <v>10.082562595101102</v>
      </c>
      <c r="I19" s="8">
        <f>Table4[[#This Row],[LOG(Bahamas)]]-H18</f>
        <v>4.7486957857838519E-3</v>
      </c>
      <c r="J19" s="8">
        <f>LN(Table4[[#This Row],[CYM]])</f>
        <v>10.81830479936419</v>
      </c>
      <c r="K19" s="8">
        <f>Table4[[#This Row],[LOG(Cayman Islands)]]-J18</f>
        <v>3.0275213268486922E-2</v>
      </c>
      <c r="L19" s="8">
        <f>LN(Table4[[#This Row],[EGY]])</f>
        <v>7.4776438351739971</v>
      </c>
      <c r="M19" s="8">
        <f>Table4[[#This Row],[LOG(Egypt)]]-L18</f>
        <v>2.7128451938658316E-3</v>
      </c>
      <c r="N19" s="8">
        <f>LN(Table4[[#This Row],[SAU]])</f>
        <v>9.6590552451832536</v>
      </c>
      <c r="O19" s="8">
        <f>Table4[[#This Row],[LOG(Saudi Arabia)]]-N18</f>
        <v>-9.489754111924853E-2</v>
      </c>
      <c r="P19" s="9">
        <f>$AC$17+$AC$18*Table4[[#This Row],[DecDate]]+$AC$19*Table4[[#This Row],[DecDate^2]]</f>
        <v>10.065898500993171</v>
      </c>
      <c r="Q19" s="9">
        <f>$AC$37+$AC$38*Table4[[#This Row],[DecDate]]+$AC$39*Table4[[#This Row],[DecDate^2]]</f>
        <v>10.827192676485083</v>
      </c>
      <c r="R19" s="9">
        <f>$W$57+$W$58*Table4[[#This Row],[DecDate]]+$W$59*Table4[[#This Row],[DecDate^2]]</f>
        <v>7.6186111707854707</v>
      </c>
      <c r="S19" s="9">
        <f>$W$77+$W$78*Table4[[#This Row],[DecDate]]+$W$79*Table4[[#This Row],[DecDate^2]]</f>
        <v>9.8785286869251649</v>
      </c>
      <c r="T19" s="9">
        <f>Table4[[#This Row],[LOG(Bahamas)]]-Table4[[#This Row],[Trend(Bahamas)]]</f>
        <v>1.6664094107930794E-2</v>
      </c>
      <c r="U19" s="9">
        <f>Table4[[#This Row],[LOG(Cayman Islands)]]-Table4[[#This Row],[Trend(Cayman Island)]]</f>
        <v>-8.8878771208928953E-3</v>
      </c>
      <c r="V19" s="9">
        <f>Table4[[#This Row],[LOG(Egypt)]]-Table4[[#This Row],[Trend(Egypt)]]</f>
        <v>-0.14096733561147357</v>
      </c>
      <c r="W19" s="9">
        <f>Table4[[#This Row],[LOG(Saudi Arabia)]]-Table4[[#This Row],[Trend(Saudi Arabia)]]</f>
        <v>-0.2194734417419113</v>
      </c>
      <c r="X19" s="9"/>
      <c r="Y19" s="9"/>
      <c r="AB19" s="2" t="s">
        <v>204</v>
      </c>
      <c r="AC19" s="2">
        <v>-5.5172450518562268E-4</v>
      </c>
      <c r="AD19" s="2">
        <v>1.086392987297334E-4</v>
      </c>
      <c r="AE19" s="2">
        <v>-5.0784984037698102</v>
      </c>
      <c r="AF19" s="2">
        <v>7.0800578468362332E-6</v>
      </c>
      <c r="AG19" s="2">
        <v>-7.7053528492281725E-4</v>
      </c>
      <c r="AH19" s="2">
        <v>-3.3291372544842811E-4</v>
      </c>
      <c r="AI19" s="2">
        <v>-7.7053528492281725E-4</v>
      </c>
      <c r="AJ19" s="2">
        <v>-3.3291372544842811E-4</v>
      </c>
    </row>
    <row r="20" spans="1:36" x14ac:dyDescent="0.35">
      <c r="A20">
        <v>1988</v>
      </c>
      <c r="B20">
        <f>Table4[[#This Row],[Year]]+0.5</f>
        <v>1988.5</v>
      </c>
      <c r="C20">
        <f>Table4[[#This Row],[DecDate]]*Table4[[#This Row],[DecDate]]</f>
        <v>3954132.25</v>
      </c>
      <c r="D20" s="8">
        <v>24253.75</v>
      </c>
      <c r="E20" s="8">
        <v>55157.75</v>
      </c>
      <c r="F20" s="8">
        <v>1700.86</v>
      </c>
      <c r="G20" s="8">
        <v>16568.47</v>
      </c>
      <c r="H20" s="8">
        <f>LN(Table4[[#This Row],[BHS]])</f>
        <v>10.096326523585482</v>
      </c>
      <c r="I20" s="8">
        <f>Table4[[#This Row],[LOG(Bahamas)]]-H19</f>
        <v>1.3763928484380017E-2</v>
      </c>
      <c r="J20" s="8">
        <f>LN(Table4[[#This Row],[CYM]])</f>
        <v>10.917952540647439</v>
      </c>
      <c r="K20" s="8">
        <f>Table4[[#This Row],[LOG(Cayman Islands)]]-J19</f>
        <v>9.9647741283249047E-2</v>
      </c>
      <c r="L20" s="8">
        <f>LN(Table4[[#This Row],[EGY]])</f>
        <v>7.4388892844819097</v>
      </c>
      <c r="M20" s="8">
        <f>Table4[[#This Row],[LOG(Egypt)]]-L19</f>
        <v>-3.8754550692087442E-2</v>
      </c>
      <c r="N20" s="8">
        <f>LN(Table4[[#This Row],[SAU]])</f>
        <v>9.7152567706112514</v>
      </c>
      <c r="O20" s="8">
        <f>Table4[[#This Row],[LOG(Saudi Arabia)]]-N19</f>
        <v>5.6201525427997723E-2</v>
      </c>
      <c r="P20" s="9">
        <f>$AC$17+$AC$18*Table4[[#This Row],[DecDate]]+$AC$19*Table4[[#This Row],[DecDate^2]]</f>
        <v>10.091270713722679</v>
      </c>
      <c r="Q20" s="9">
        <f>$AC$37+$AC$38*Table4[[#This Row],[DecDate]]+$AC$39*Table4[[#This Row],[DecDate^2]]</f>
        <v>10.854791475907405</v>
      </c>
      <c r="R20" s="9">
        <f>$W$57+$W$58*Table4[[#This Row],[DecDate]]+$W$59*Table4[[#This Row],[DecDate^2]]</f>
        <v>7.6699066498872526</v>
      </c>
      <c r="S20" s="9">
        <f>$W$77+$W$78*Table4[[#This Row],[DecDate]]+$W$79*Table4[[#This Row],[DecDate^2]]</f>
        <v>9.868510369186879</v>
      </c>
      <c r="T20" s="9">
        <f>Table4[[#This Row],[LOG(Bahamas)]]-Table4[[#This Row],[Trend(Bahamas)]]</f>
        <v>5.0558098628030734E-3</v>
      </c>
      <c r="U20" s="9">
        <f>Table4[[#This Row],[LOG(Cayman Islands)]]-Table4[[#This Row],[Trend(Cayman Island)]]</f>
        <v>6.3161064740034689E-2</v>
      </c>
      <c r="V20" s="9">
        <f>Table4[[#This Row],[LOG(Egypt)]]-Table4[[#This Row],[Trend(Egypt)]]</f>
        <v>-0.2310173654053429</v>
      </c>
      <c r="W20" s="9">
        <f>Table4[[#This Row],[LOG(Saudi Arabia)]]-Table4[[#This Row],[Trend(Saudi Arabia)]]</f>
        <v>-0.15325359857562759</v>
      </c>
      <c r="X20" s="9"/>
      <c r="Y20" s="9"/>
    </row>
    <row r="21" spans="1:36" x14ac:dyDescent="0.35">
      <c r="A21">
        <v>1989</v>
      </c>
      <c r="B21">
        <f>Table4[[#This Row],[Year]]+0.5</f>
        <v>1989.5</v>
      </c>
      <c r="C21">
        <f>Table4[[#This Row],[DecDate]]*Table4[[#This Row],[DecDate]]</f>
        <v>3958110.25</v>
      </c>
      <c r="D21" s="8">
        <v>25699.78</v>
      </c>
      <c r="E21" s="8">
        <v>56190.63</v>
      </c>
      <c r="F21" s="8">
        <v>1842.78</v>
      </c>
      <c r="G21" s="8">
        <v>15925.04</v>
      </c>
      <c r="H21" s="8">
        <f>LN(Table4[[#This Row],[BHS]])</f>
        <v>10.154237710535387</v>
      </c>
      <c r="I21" s="8">
        <f>Table4[[#This Row],[LOG(Bahamas)]]-H20</f>
        <v>5.7911186949905158E-2</v>
      </c>
      <c r="J21" s="8">
        <f>LN(Table4[[#This Row],[CYM]])</f>
        <v>10.936505296002814</v>
      </c>
      <c r="K21" s="8">
        <f>Table4[[#This Row],[LOG(Cayman Islands)]]-J20</f>
        <v>1.8552755355374373E-2</v>
      </c>
      <c r="L21" s="8">
        <f>LN(Table4[[#This Row],[EGY]])</f>
        <v>7.51903057995316</v>
      </c>
      <c r="M21" s="8">
        <f>Table4[[#This Row],[LOG(Egypt)]]-L20</f>
        <v>8.0141295471250373E-2</v>
      </c>
      <c r="N21" s="8">
        <f>LN(Table4[[#This Row],[SAU]])</f>
        <v>9.6756479922111502</v>
      </c>
      <c r="O21" s="8">
        <f>Table4[[#This Row],[LOG(Saudi Arabia)]]-N20</f>
        <v>-3.960877840010113E-2</v>
      </c>
      <c r="P21" s="9">
        <f>$AC$17+$AC$18*Table4[[#This Row],[DecDate]]+$AC$19*Table4[[#This Row],[DecDate^2]]</f>
        <v>10.11553947744278</v>
      </c>
      <c r="Q21" s="9">
        <f>$AC$37+$AC$38*Table4[[#This Row],[DecDate]]+$AC$39*Table4[[#This Row],[DecDate^2]]</f>
        <v>10.880506902750312</v>
      </c>
      <c r="R21" s="9">
        <f>$W$57+$W$58*Table4[[#This Row],[DecDate]]+$W$59*Table4[[#This Row],[DecDate^2]]</f>
        <v>7.7218481827580945</v>
      </c>
      <c r="S21" s="9">
        <f>$W$77+$W$78*Table4[[#This Row],[DecDate]]+$W$79*Table4[[#This Row],[DecDate^2]]</f>
        <v>9.8615994461024457</v>
      </c>
      <c r="T21" s="9">
        <f>Table4[[#This Row],[LOG(Bahamas)]]-Table4[[#This Row],[Trend(Bahamas)]]</f>
        <v>3.8698233092606671E-2</v>
      </c>
      <c r="U21" s="9">
        <f>Table4[[#This Row],[LOG(Cayman Islands)]]-Table4[[#This Row],[Trend(Cayman Island)]]</f>
        <v>5.5998393252501444E-2</v>
      </c>
      <c r="V21" s="9">
        <f>Table4[[#This Row],[LOG(Egypt)]]-Table4[[#This Row],[Trend(Egypt)]]</f>
        <v>-0.20281760280493444</v>
      </c>
      <c r="W21" s="9">
        <f>Table4[[#This Row],[LOG(Saudi Arabia)]]-Table4[[#This Row],[Trend(Saudi Arabia)]]</f>
        <v>-0.18595145389129542</v>
      </c>
      <c r="X21" s="9"/>
      <c r="Y21" s="9"/>
      <c r="AA21" t="s">
        <v>206</v>
      </c>
      <c r="AB21" t="s">
        <v>7</v>
      </c>
    </row>
    <row r="22" spans="1:36" ht="15" thickBot="1" x14ac:dyDescent="0.4">
      <c r="A22">
        <v>1990</v>
      </c>
      <c r="B22">
        <f>Table4[[#This Row],[Year]]+0.5</f>
        <v>1990.5</v>
      </c>
      <c r="C22">
        <f>Table4[[#This Row],[DecDate]]*Table4[[#This Row],[DecDate]]</f>
        <v>3962090.25</v>
      </c>
      <c r="D22" s="8">
        <v>25452.880000000001</v>
      </c>
      <c r="E22" s="8">
        <v>59744.71</v>
      </c>
      <c r="F22" s="8">
        <v>2012.93</v>
      </c>
      <c r="G22" s="8">
        <v>16343.7</v>
      </c>
      <c r="H22" s="8">
        <f>LN(Table4[[#This Row],[BHS]])</f>
        <v>10.144584178641045</v>
      </c>
      <c r="I22" s="8">
        <f>Table4[[#This Row],[LOG(Bahamas)]]-H21</f>
        <v>-9.6535318943420378E-3</v>
      </c>
      <c r="J22" s="8">
        <f>LN(Table4[[#This Row],[CYM]])</f>
        <v>10.9978359303094</v>
      </c>
      <c r="K22" s="8">
        <f>Table4[[#This Row],[LOG(Cayman Islands)]]-J21</f>
        <v>6.1330634306585807E-2</v>
      </c>
      <c r="L22" s="8">
        <f>LN(Table4[[#This Row],[EGY]])</f>
        <v>7.6073466510659626</v>
      </c>
      <c r="M22" s="8">
        <f>Table4[[#This Row],[LOG(Egypt)]]-L21</f>
        <v>8.8316071112802597E-2</v>
      </c>
      <c r="N22" s="8">
        <f>LN(Table4[[#This Row],[SAU]])</f>
        <v>9.701597780969232</v>
      </c>
      <c r="O22" s="8">
        <f>Table4[[#This Row],[LOG(Saudi Arabia)]]-N21</f>
        <v>2.5949788758081738E-2</v>
      </c>
      <c r="P22" s="9">
        <f>$AC$17+$AC$18*Table4[[#This Row],[DecDate]]+$AC$19*Table4[[#This Row],[DecDate^2]]</f>
        <v>10.138704792152566</v>
      </c>
      <c r="Q22" s="9">
        <f>$AC$37+$AC$38*Table4[[#This Row],[DecDate]]+$AC$39*Table4[[#This Row],[DecDate^2]]</f>
        <v>10.90433895701608</v>
      </c>
      <c r="R22" s="9">
        <f>$W$57+$W$58*Table4[[#This Row],[DecDate]]+$W$59*Table4[[#This Row],[DecDate^2]]</f>
        <v>7.7744357693979964</v>
      </c>
      <c r="S22" s="9">
        <f>$W$77+$W$78*Table4[[#This Row],[DecDate]]+$W$79*Table4[[#This Row],[DecDate^2]]</f>
        <v>9.8577959176691365</v>
      </c>
      <c r="T22" s="9">
        <f>Table4[[#This Row],[LOG(Bahamas)]]-Table4[[#This Row],[Trend(Bahamas)]]</f>
        <v>5.8793864884787439E-3</v>
      </c>
      <c r="U22" s="9">
        <f>Table4[[#This Row],[LOG(Cayman Islands)]]-Table4[[#This Row],[Trend(Cayman Island)]]</f>
        <v>9.3496973293319741E-2</v>
      </c>
      <c r="V22" s="9">
        <f>Table4[[#This Row],[LOG(Egypt)]]-Table4[[#This Row],[Trend(Egypt)]]</f>
        <v>-0.16708911833203377</v>
      </c>
      <c r="W22" s="9">
        <f>Table4[[#This Row],[LOG(Saudi Arabia)]]-Table4[[#This Row],[Trend(Saudi Arabia)]]</f>
        <v>-0.15619813669990457</v>
      </c>
      <c r="X22" s="9"/>
      <c r="Y22" s="9"/>
    </row>
    <row r="23" spans="1:36" x14ac:dyDescent="0.35">
      <c r="A23">
        <v>1991</v>
      </c>
      <c r="B23">
        <f>Table4[[#This Row],[Year]]+0.5</f>
        <v>1991.5</v>
      </c>
      <c r="C23">
        <f>Table4[[#This Row],[DecDate]]*Table4[[#This Row],[DecDate]]</f>
        <v>3966072.25</v>
      </c>
      <c r="D23" s="8">
        <v>23511.97</v>
      </c>
      <c r="E23" s="8">
        <v>57814.58</v>
      </c>
      <c r="F23" s="8">
        <v>2280.83</v>
      </c>
      <c r="G23" s="8">
        <v>17717.830000000002</v>
      </c>
      <c r="H23" s="8">
        <f>LN(Table4[[#This Row],[BHS]])</f>
        <v>10.06526493215374</v>
      </c>
      <c r="I23" s="8">
        <f>Table4[[#This Row],[LOG(Bahamas)]]-H22</f>
        <v>-7.9319246487305151E-2</v>
      </c>
      <c r="J23" s="8">
        <f>LN(Table4[[#This Row],[CYM]])</f>
        <v>10.964996271985953</v>
      </c>
      <c r="K23" s="8">
        <f>Table4[[#This Row],[LOG(Cayman Islands)]]-J22</f>
        <v>-3.2839658323446486E-2</v>
      </c>
      <c r="L23" s="8">
        <f>LN(Table4[[#This Row],[EGY]])</f>
        <v>7.7322946907915098</v>
      </c>
      <c r="M23" s="8">
        <f>Table4[[#This Row],[LOG(Egypt)]]-L22</f>
        <v>0.12494803972554713</v>
      </c>
      <c r="N23" s="8">
        <f>LN(Table4[[#This Row],[SAU]])</f>
        <v>9.7823267561635596</v>
      </c>
      <c r="O23" s="8">
        <f>Table4[[#This Row],[LOG(Saudi Arabia)]]-N22</f>
        <v>8.0728975194327646E-2</v>
      </c>
      <c r="P23" s="9">
        <f>$AC$17+$AC$18*Table4[[#This Row],[DecDate]]+$AC$19*Table4[[#This Row],[DecDate^2]]</f>
        <v>10.160766657852037</v>
      </c>
      <c r="Q23" s="9">
        <f>$AC$37+$AC$38*Table4[[#This Row],[DecDate]]+$AC$39*Table4[[#This Row],[DecDate^2]]</f>
        <v>10.926287638701979</v>
      </c>
      <c r="R23" s="9">
        <f>$W$57+$W$58*Table4[[#This Row],[DecDate]]+$W$59*Table4[[#This Row],[DecDate^2]]</f>
        <v>7.8276694098071857</v>
      </c>
      <c r="S23" s="9">
        <f>$W$77+$W$78*Table4[[#This Row],[DecDate]]+$W$79*Table4[[#This Row],[DecDate^2]]</f>
        <v>9.8570997838896801</v>
      </c>
      <c r="T23" s="9">
        <f>Table4[[#This Row],[LOG(Bahamas)]]-Table4[[#This Row],[Trend(Bahamas)]]</f>
        <v>-9.5501725698296625E-2</v>
      </c>
      <c r="U23" s="9">
        <f>Table4[[#This Row],[LOG(Cayman Islands)]]-Table4[[#This Row],[Trend(Cayman Island)]]</f>
        <v>3.8708633283974336E-2</v>
      </c>
      <c r="V23" s="9">
        <f>Table4[[#This Row],[LOG(Egypt)]]-Table4[[#This Row],[Trend(Egypt)]]</f>
        <v>-9.5374719015675957E-2</v>
      </c>
      <c r="W23" s="9">
        <f>Table4[[#This Row],[LOG(Saudi Arabia)]]-Table4[[#This Row],[Trend(Saudi Arabia)]]</f>
        <v>-7.4773027726120489E-2</v>
      </c>
      <c r="X23" s="9"/>
      <c r="Y23" s="9"/>
      <c r="AB23" s="4" t="s">
        <v>8</v>
      </c>
      <c r="AC23" s="4"/>
    </row>
    <row r="24" spans="1:36" x14ac:dyDescent="0.35">
      <c r="A24">
        <v>1992</v>
      </c>
      <c r="B24">
        <f>Table4[[#This Row],[Year]]+0.5</f>
        <v>1992.5</v>
      </c>
      <c r="C24">
        <f>Table4[[#This Row],[DecDate]]*Table4[[#This Row],[DecDate]]</f>
        <v>3970056.25</v>
      </c>
      <c r="D24" s="8">
        <v>22715.16</v>
      </c>
      <c r="E24" s="8">
        <v>57289.1</v>
      </c>
      <c r="F24" s="8">
        <v>2472.02</v>
      </c>
      <c r="G24" s="8">
        <v>18488.72</v>
      </c>
      <c r="H24" s="8">
        <f>LN(Table4[[#This Row],[BHS]])</f>
        <v>10.03078782197235</v>
      </c>
      <c r="I24" s="8">
        <f>Table4[[#This Row],[LOG(Bahamas)]]-H23</f>
        <v>-3.4477110181390103E-2</v>
      </c>
      <c r="J24" s="8">
        <f>LN(Table4[[#This Row],[CYM]])</f>
        <v>10.955865657731312</v>
      </c>
      <c r="K24" s="8">
        <f>Table4[[#This Row],[LOG(Cayman Islands)]]-J23</f>
        <v>-9.1306142546407898E-3</v>
      </c>
      <c r="L24" s="8">
        <f>LN(Table4[[#This Row],[EGY]])</f>
        <v>7.8127909091597392</v>
      </c>
      <c r="M24" s="8">
        <f>Table4[[#This Row],[LOG(Egypt)]]-L23</f>
        <v>8.04962183682294E-2</v>
      </c>
      <c r="N24" s="8">
        <f>LN(Table4[[#This Row],[SAU]])</f>
        <v>9.8249160953759205</v>
      </c>
      <c r="O24" s="8">
        <f>Table4[[#This Row],[LOG(Saudi Arabia)]]-N23</f>
        <v>4.2589339212360855E-2</v>
      </c>
      <c r="P24" s="9">
        <f>$AC$17+$AC$18*Table4[[#This Row],[DecDate]]+$AC$19*Table4[[#This Row],[DecDate^2]]</f>
        <v>10.181725074539827</v>
      </c>
      <c r="Q24" s="9">
        <f>$AC$37+$AC$38*Table4[[#This Row],[DecDate]]+$AC$39*Table4[[#This Row],[DecDate^2]]</f>
        <v>10.946352947810283</v>
      </c>
      <c r="R24" s="9">
        <f>$W$57+$W$58*Table4[[#This Row],[DecDate]]+$W$59*Table4[[#This Row],[DecDate^2]]</f>
        <v>7.8815491039852077</v>
      </c>
      <c r="S24" s="9">
        <f>$W$77+$W$78*Table4[[#This Row],[DecDate]]+$W$79*Table4[[#This Row],[DecDate^2]]</f>
        <v>9.8595110447604384</v>
      </c>
      <c r="T24" s="9">
        <f>Table4[[#This Row],[LOG(Bahamas)]]-Table4[[#This Row],[Trend(Bahamas)]]</f>
        <v>-0.15093725256747703</v>
      </c>
      <c r="U24" s="9">
        <f>Table4[[#This Row],[LOG(Cayman Islands)]]-Table4[[#This Row],[Trend(Cayman Island)]]</f>
        <v>9.512709921029483E-3</v>
      </c>
      <c r="V24" s="9">
        <f>Table4[[#This Row],[LOG(Egypt)]]-Table4[[#This Row],[Trend(Egypt)]]</f>
        <v>-6.8758194825468522E-2</v>
      </c>
      <c r="W24" s="9">
        <f>Table4[[#This Row],[LOG(Saudi Arabia)]]-Table4[[#This Row],[Trend(Saudi Arabia)]]</f>
        <v>-3.4594949384517903E-2</v>
      </c>
      <c r="X24" s="9"/>
      <c r="Y24" s="9"/>
      <c r="AB24" s="1" t="s">
        <v>9</v>
      </c>
      <c r="AC24" s="1">
        <v>0.98087727283688964</v>
      </c>
    </row>
    <row r="25" spans="1:36" x14ac:dyDescent="0.35">
      <c r="A25">
        <v>1993</v>
      </c>
      <c r="B25">
        <f>Table4[[#This Row],[Year]]+0.5</f>
        <v>1993.5</v>
      </c>
      <c r="C25">
        <f>Table4[[#This Row],[DecDate]]*Table4[[#This Row],[DecDate]]</f>
        <v>3974042.25</v>
      </c>
      <c r="D25" s="8">
        <v>22347.69</v>
      </c>
      <c r="E25" s="8">
        <v>57512.33</v>
      </c>
      <c r="F25" s="8">
        <v>2839.86</v>
      </c>
      <c r="G25" s="8">
        <v>18226.169999999998</v>
      </c>
      <c r="H25" s="8">
        <f>LN(Table4[[#This Row],[BHS]])</f>
        <v>10.014478238995448</v>
      </c>
      <c r="I25" s="8">
        <f>Table4[[#This Row],[LOG(Bahamas)]]-H24</f>
        <v>-1.6309582976901993E-2</v>
      </c>
      <c r="J25" s="8">
        <f>LN(Table4[[#This Row],[CYM]])</f>
        <v>10.959754638580199</v>
      </c>
      <c r="K25" s="8">
        <f>Table4[[#This Row],[LOG(Cayman Islands)]]-J24</f>
        <v>3.8889808488864475E-3</v>
      </c>
      <c r="L25" s="8">
        <f>LN(Table4[[#This Row],[EGY]])</f>
        <v>7.9515100341655272</v>
      </c>
      <c r="M25" s="8">
        <f>Table4[[#This Row],[LOG(Egypt)]]-L24</f>
        <v>0.13871912500578798</v>
      </c>
      <c r="N25" s="8">
        <f>LN(Table4[[#This Row],[SAU]])</f>
        <v>9.8106137523471499</v>
      </c>
      <c r="O25" s="8">
        <f>Table4[[#This Row],[LOG(Saudi Arabia)]]-N24</f>
        <v>-1.4302343028770537E-2</v>
      </c>
      <c r="P25" s="9">
        <f>$AC$17+$AC$18*Table4[[#This Row],[DecDate]]+$AC$19*Table4[[#This Row],[DecDate^2]]</f>
        <v>10.201580042218666</v>
      </c>
      <c r="Q25" s="9">
        <f>$AC$37+$AC$38*Table4[[#This Row],[DecDate]]+$AC$39*Table4[[#This Row],[DecDate^2]]</f>
        <v>10.964534884338718</v>
      </c>
      <c r="R25" s="9">
        <f>$W$57+$W$58*Table4[[#This Row],[DecDate]]+$W$59*Table4[[#This Row],[DecDate^2]]</f>
        <v>7.936074851932517</v>
      </c>
      <c r="S25" s="9">
        <f>$W$77+$W$78*Table4[[#This Row],[DecDate]]+$W$79*Table4[[#This Row],[DecDate^2]]</f>
        <v>9.8650297002859588</v>
      </c>
      <c r="T25" s="9">
        <f>Table4[[#This Row],[LOG(Bahamas)]]-Table4[[#This Row],[Trend(Bahamas)]]</f>
        <v>-0.1871018032232179</v>
      </c>
      <c r="U25" s="9">
        <f>Table4[[#This Row],[LOG(Cayman Islands)]]-Table4[[#This Row],[Trend(Cayman Island)]]</f>
        <v>-4.7802457585195413E-3</v>
      </c>
      <c r="V25" s="9">
        <f>Table4[[#This Row],[LOG(Egypt)]]-Table4[[#This Row],[Trend(Egypt)]]</f>
        <v>1.5435182233010103E-2</v>
      </c>
      <c r="W25" s="9">
        <f>Table4[[#This Row],[LOG(Saudi Arabia)]]-Table4[[#This Row],[Trend(Saudi Arabia)]]</f>
        <v>-5.4415947938808884E-2</v>
      </c>
      <c r="X25" s="9"/>
      <c r="Y25" s="9"/>
      <c r="AB25" s="1" t="s">
        <v>10</v>
      </c>
      <c r="AC25" s="1">
        <v>0.96212022436793398</v>
      </c>
    </row>
    <row r="26" spans="1:36" x14ac:dyDescent="0.35">
      <c r="A26">
        <v>1994</v>
      </c>
      <c r="B26">
        <f>Table4[[#This Row],[Year]]+0.5</f>
        <v>1994.5</v>
      </c>
      <c r="C26">
        <f>Table4[[#This Row],[DecDate]]*Table4[[#This Row],[DecDate]]</f>
        <v>3978030.25</v>
      </c>
      <c r="D26" s="8">
        <v>23055.99</v>
      </c>
      <c r="E26" s="8">
        <v>57587.94</v>
      </c>
      <c r="F26" s="8">
        <v>3177.48</v>
      </c>
      <c r="G26" s="8">
        <v>17449.099999999999</v>
      </c>
      <c r="H26" s="8">
        <f>LN(Table4[[#This Row],[BHS]])</f>
        <v>10.045680884512631</v>
      </c>
      <c r="I26" s="8">
        <f>Table4[[#This Row],[LOG(Bahamas)]]-H25</f>
        <v>3.1202645517183214E-2</v>
      </c>
      <c r="J26" s="8">
        <f>LN(Table4[[#This Row],[CYM]])</f>
        <v>10.961068449761978</v>
      </c>
      <c r="K26" s="8">
        <f>Table4[[#This Row],[LOG(Cayman Islands)]]-J25</f>
        <v>1.3138111817792009E-3</v>
      </c>
      <c r="L26" s="8">
        <f>LN(Table4[[#This Row],[EGY]])</f>
        <v>8.06384370878731</v>
      </c>
      <c r="M26" s="8">
        <f>Table4[[#This Row],[LOG(Egypt)]]-L25</f>
        <v>0.1123336746217829</v>
      </c>
      <c r="N26" s="8">
        <f>LN(Table4[[#This Row],[SAU]])</f>
        <v>9.7670433503692564</v>
      </c>
      <c r="O26" s="8">
        <f>Table4[[#This Row],[LOG(Saudi Arabia)]]-N25</f>
        <v>-4.3570401977893525E-2</v>
      </c>
      <c r="P26" s="9">
        <f>$AC$17+$AC$18*Table4[[#This Row],[DecDate]]+$AC$19*Table4[[#This Row],[DecDate^2]]</f>
        <v>10.220331560886734</v>
      </c>
      <c r="Q26" s="9">
        <f>$AC$37+$AC$38*Table4[[#This Row],[DecDate]]+$AC$39*Table4[[#This Row],[DecDate^2]]</f>
        <v>10.980833448290014</v>
      </c>
      <c r="R26" s="9">
        <f>$W$57+$W$58*Table4[[#This Row],[DecDate]]+$W$59*Table4[[#This Row],[DecDate^2]]</f>
        <v>7.9912466536484317</v>
      </c>
      <c r="S26" s="9">
        <f>$W$77+$W$78*Table4[[#This Row],[DecDate]]+$W$79*Table4[[#This Row],[DecDate^2]]</f>
        <v>9.873655750461694</v>
      </c>
      <c r="T26" s="9">
        <f>Table4[[#This Row],[LOG(Bahamas)]]-Table4[[#This Row],[Trend(Bahamas)]]</f>
        <v>-0.17465067637410314</v>
      </c>
      <c r="U26" s="9">
        <f>Table4[[#This Row],[LOG(Cayman Islands)]]-Table4[[#This Row],[Trend(Cayman Island)]]</f>
        <v>-1.9764998528035704E-2</v>
      </c>
      <c r="V26" s="9">
        <f>Table4[[#This Row],[LOG(Egypt)]]-Table4[[#This Row],[Trend(Egypt)]]</f>
        <v>7.2597055138878375E-2</v>
      </c>
      <c r="W26" s="9">
        <f>Table4[[#This Row],[LOG(Saudi Arabia)]]-Table4[[#This Row],[Trend(Saudi Arabia)]]</f>
        <v>-0.10661240009243755</v>
      </c>
      <c r="X26" s="9"/>
      <c r="Y26" s="9"/>
      <c r="AB26" s="1" t="s">
        <v>11</v>
      </c>
      <c r="AC26" s="1">
        <v>0.96043667878428662</v>
      </c>
    </row>
    <row r="27" spans="1:36" x14ac:dyDescent="0.35">
      <c r="A27">
        <v>1995</v>
      </c>
      <c r="B27">
        <f>Table4[[#This Row],[Year]]+0.5</f>
        <v>1995.5</v>
      </c>
      <c r="C27">
        <f>Table4[[#This Row],[DecDate]]*Table4[[#This Row],[DecDate]]</f>
        <v>3982020.25</v>
      </c>
      <c r="D27" s="8">
        <v>23629.54</v>
      </c>
      <c r="E27" s="8">
        <v>57231.55</v>
      </c>
      <c r="F27" s="8">
        <v>3657.96</v>
      </c>
      <c r="G27" s="8">
        <v>17114.07</v>
      </c>
      <c r="H27" s="8">
        <f>LN(Table4[[#This Row],[BHS]])</f>
        <v>10.070252903211955</v>
      </c>
      <c r="I27" s="8">
        <f>Table4[[#This Row],[LOG(Bahamas)]]-H26</f>
        <v>2.4572018699323905E-2</v>
      </c>
      <c r="J27" s="8">
        <f>LN(Table4[[#This Row],[CYM]])</f>
        <v>10.954860598733752</v>
      </c>
      <c r="K27" s="8">
        <f>Table4[[#This Row],[LOG(Cayman Islands)]]-J26</f>
        <v>-6.2078510282255195E-3</v>
      </c>
      <c r="L27" s="8">
        <f>LN(Table4[[#This Row],[EGY]])</f>
        <v>8.2046608939538999</v>
      </c>
      <c r="M27" s="8">
        <f>Table4[[#This Row],[LOG(Egypt)]]-L26</f>
        <v>0.14081718516658981</v>
      </c>
      <c r="N27" s="8">
        <f>LN(Table4[[#This Row],[SAU]])</f>
        <v>9.7476562111881702</v>
      </c>
      <c r="O27" s="8">
        <f>Table4[[#This Row],[LOG(Saudi Arabia)]]-N26</f>
        <v>-1.9387139181086255E-2</v>
      </c>
      <c r="P27" s="9">
        <f>$AC$17+$AC$18*Table4[[#This Row],[DecDate]]+$AC$19*Table4[[#This Row],[DecDate^2]]</f>
        <v>10.237979630544487</v>
      </c>
      <c r="Q27" s="9">
        <f>$AC$37+$AC$38*Table4[[#This Row],[DecDate]]+$AC$39*Table4[[#This Row],[DecDate^2]]</f>
        <v>10.995248639661895</v>
      </c>
      <c r="R27" s="9">
        <f>$W$57+$W$58*Table4[[#This Row],[DecDate]]+$W$59*Table4[[#This Row],[DecDate^2]]</f>
        <v>8.0470645091338611</v>
      </c>
      <c r="S27" s="9">
        <f>$W$77+$W$78*Table4[[#This Row],[DecDate]]+$W$79*Table4[[#This Row],[DecDate^2]]</f>
        <v>9.8853891952912818</v>
      </c>
      <c r="T27" s="9">
        <f>Table4[[#This Row],[LOG(Bahamas)]]-Table4[[#This Row],[Trend(Bahamas)]]</f>
        <v>-0.16772672733253202</v>
      </c>
      <c r="U27" s="9">
        <f>Table4[[#This Row],[LOG(Cayman Islands)]]-Table4[[#This Row],[Trend(Cayman Island)]]</f>
        <v>-4.0388040928142743E-2</v>
      </c>
      <c r="V27" s="9">
        <f>Table4[[#This Row],[LOG(Egypt)]]-Table4[[#This Row],[Trend(Egypt)]]</f>
        <v>0.15759638482003879</v>
      </c>
      <c r="W27" s="9">
        <f>Table4[[#This Row],[LOG(Saudi Arabia)]]-Table4[[#This Row],[Trend(Saudi Arabia)]]</f>
        <v>-0.13773298410311163</v>
      </c>
      <c r="X27" s="9"/>
      <c r="Y27" s="9"/>
      <c r="AB27" s="1" t="s">
        <v>12</v>
      </c>
      <c r="AC27" s="1">
        <v>5.6893772025572116E-2</v>
      </c>
    </row>
    <row r="28" spans="1:36" ht="15" thickBot="1" x14ac:dyDescent="0.4">
      <c r="A28">
        <v>1996</v>
      </c>
      <c r="B28">
        <f>Table4[[#This Row],[Year]]+0.5</f>
        <v>1996.5</v>
      </c>
      <c r="C28">
        <f>Table4[[#This Row],[DecDate]]*Table4[[#This Row],[DecDate]]</f>
        <v>3986012.25</v>
      </c>
      <c r="D28" s="8">
        <v>27045.21</v>
      </c>
      <c r="E28" s="8">
        <v>56774.71</v>
      </c>
      <c r="F28" s="8">
        <v>4315.93</v>
      </c>
      <c r="G28" s="8">
        <v>17169.07</v>
      </c>
      <c r="H28" s="8">
        <f>LN(Table4[[#This Row],[BHS]])</f>
        <v>10.205265189111765</v>
      </c>
      <c r="I28" s="8">
        <f>Table4[[#This Row],[LOG(Bahamas)]]-H27</f>
        <v>0.13501228589981018</v>
      </c>
      <c r="J28" s="8">
        <f>LN(Table4[[#This Row],[CYM]])</f>
        <v>10.946846259078724</v>
      </c>
      <c r="K28" s="8">
        <f>Table4[[#This Row],[LOG(Cayman Islands)]]-J27</f>
        <v>-8.0143396550287349E-3</v>
      </c>
      <c r="L28" s="8">
        <f>LN(Table4[[#This Row],[EGY]])</f>
        <v>8.3700681075254622</v>
      </c>
      <c r="M28" s="8">
        <f>Table4[[#This Row],[LOG(Egypt)]]-L27</f>
        <v>0.16540721357156229</v>
      </c>
      <c r="N28" s="8">
        <f>LN(Table4[[#This Row],[SAU]])</f>
        <v>9.7508647881846322</v>
      </c>
      <c r="O28" s="8">
        <f>Table4[[#This Row],[LOG(Saudi Arabia)]]-N27</f>
        <v>3.2085769964620425E-3</v>
      </c>
      <c r="P28" s="9">
        <f>$AC$17+$AC$18*Table4[[#This Row],[DecDate]]+$AC$19*Table4[[#This Row],[DecDate^2]]</f>
        <v>10.254524251191015</v>
      </c>
      <c r="Q28" s="9">
        <f>$AC$37+$AC$38*Table4[[#This Row],[DecDate]]+$AC$39*Table4[[#This Row],[DecDate^2]]</f>
        <v>11.007780458455727</v>
      </c>
      <c r="R28" s="9">
        <f>$W$57+$W$58*Table4[[#This Row],[DecDate]]+$W$59*Table4[[#This Row],[DecDate^2]]</f>
        <v>8.1035284183883505</v>
      </c>
      <c r="S28" s="9">
        <f>$W$77+$W$78*Table4[[#This Row],[DecDate]]+$W$79*Table4[[#This Row],[DecDate^2]]</f>
        <v>9.9002300347719938</v>
      </c>
      <c r="T28" s="9">
        <f>Table4[[#This Row],[LOG(Bahamas)]]-Table4[[#This Row],[Trend(Bahamas)]]</f>
        <v>-4.925906207924946E-2</v>
      </c>
      <c r="U28" s="9">
        <f>Table4[[#This Row],[LOG(Cayman Islands)]]-Table4[[#This Row],[Trend(Cayman Island)]]</f>
        <v>-6.0934199377003395E-2</v>
      </c>
      <c r="V28" s="9">
        <f>Table4[[#This Row],[LOG(Egypt)]]-Table4[[#This Row],[Trend(Egypt)]]</f>
        <v>0.26653968913711168</v>
      </c>
      <c r="W28" s="9">
        <f>Table4[[#This Row],[LOG(Saudi Arabia)]]-Table4[[#This Row],[Trend(Saudi Arabia)]]</f>
        <v>-0.14936524658736161</v>
      </c>
      <c r="X28" s="9"/>
      <c r="Y28" s="9"/>
      <c r="AB28" s="2" t="s">
        <v>13</v>
      </c>
      <c r="AC28" s="2">
        <v>48</v>
      </c>
    </row>
    <row r="29" spans="1:36" x14ac:dyDescent="0.35">
      <c r="A29">
        <v>1997</v>
      </c>
      <c r="B29">
        <f>Table4[[#This Row],[Year]]+0.5</f>
        <v>1997.5</v>
      </c>
      <c r="C29">
        <f>Table4[[#This Row],[DecDate]]*Table4[[#This Row],[DecDate]]</f>
        <v>3990006.25</v>
      </c>
      <c r="D29" s="8">
        <v>28358.09</v>
      </c>
      <c r="E29" s="8">
        <v>56465.64</v>
      </c>
      <c r="F29" s="8">
        <v>4434.76</v>
      </c>
      <c r="G29" s="8">
        <v>17288.759999999998</v>
      </c>
      <c r="H29" s="8">
        <f>LN(Table4[[#This Row],[BHS]])</f>
        <v>10.252667630000063</v>
      </c>
      <c r="I29" s="8">
        <f>Table4[[#This Row],[LOG(Bahamas)]]-H28</f>
        <v>4.7402440888298258E-2</v>
      </c>
      <c r="J29" s="8">
        <f>LN(Table4[[#This Row],[CYM]])</f>
        <v>10.941387590548509</v>
      </c>
      <c r="K29" s="8">
        <f>Table4[[#This Row],[LOG(Cayman Islands)]]-J28</f>
        <v>-5.4586685302151494E-3</v>
      </c>
      <c r="L29" s="8">
        <f>LN(Table4[[#This Row],[EGY]])</f>
        <v>8.3972287782850472</v>
      </c>
      <c r="M29" s="8">
        <f>Table4[[#This Row],[LOG(Egypt)]]-L28</f>
        <v>2.7160670759585059E-2</v>
      </c>
      <c r="N29" s="8">
        <f>LN(Table4[[#This Row],[SAU]])</f>
        <v>9.7578118583495659</v>
      </c>
      <c r="O29" s="8">
        <f>Table4[[#This Row],[LOG(Saudi Arabia)]]-N28</f>
        <v>6.9470701649336775E-3</v>
      </c>
      <c r="P29" s="9">
        <f>$AC$17+$AC$18*Table4[[#This Row],[DecDate]]+$AC$19*Table4[[#This Row],[DecDate^2]]</f>
        <v>10.269965422828136</v>
      </c>
      <c r="Q29" s="9">
        <f>$AC$37+$AC$38*Table4[[#This Row],[DecDate]]+$AC$39*Table4[[#This Row],[DecDate^2]]</f>
        <v>11.0184289046706</v>
      </c>
      <c r="R29" s="9">
        <f>$W$57+$W$58*Table4[[#This Row],[DecDate]]+$W$59*Table4[[#This Row],[DecDate^2]]</f>
        <v>8.1606383814121273</v>
      </c>
      <c r="S29" s="9">
        <f>$W$77+$W$78*Table4[[#This Row],[DecDate]]+$W$79*Table4[[#This Row],[DecDate^2]]</f>
        <v>9.9181782689065585</v>
      </c>
      <c r="T29" s="9">
        <f>Table4[[#This Row],[LOG(Bahamas)]]-Table4[[#This Row],[Trend(Bahamas)]]</f>
        <v>-1.7297792828072645E-2</v>
      </c>
      <c r="U29" s="9">
        <f>Table4[[#This Row],[LOG(Cayman Islands)]]-Table4[[#This Row],[Trend(Cayman Island)]]</f>
        <v>-7.7041314122091364E-2</v>
      </c>
      <c r="V29" s="9">
        <f>Table4[[#This Row],[LOG(Egypt)]]-Table4[[#This Row],[Trend(Egypt)]]</f>
        <v>0.23659039687291994</v>
      </c>
      <c r="W29" s="9">
        <f>Table4[[#This Row],[LOG(Saudi Arabia)]]-Table4[[#This Row],[Trend(Saudi Arabia)]]</f>
        <v>-0.16036641055699263</v>
      </c>
      <c r="X29" s="9"/>
      <c r="Y29" s="9"/>
    </row>
    <row r="30" spans="1:36" ht="15" thickBot="1" x14ac:dyDescent="0.4">
      <c r="A30">
        <v>1998</v>
      </c>
      <c r="B30">
        <f>Table4[[#This Row],[Year]]+0.5</f>
        <v>1998.5</v>
      </c>
      <c r="C30">
        <f>Table4[[#This Row],[DecDate]]*Table4[[#This Row],[DecDate]]</f>
        <v>3994002.25</v>
      </c>
      <c r="D30" s="8">
        <v>31252.94</v>
      </c>
      <c r="E30" s="8">
        <v>69382.14</v>
      </c>
      <c r="F30" s="8">
        <v>4400.38</v>
      </c>
      <c r="G30" s="8">
        <v>15491.66</v>
      </c>
      <c r="H30" s="8">
        <f>LN(Table4[[#This Row],[BHS]])</f>
        <v>10.349868730739303</v>
      </c>
      <c r="I30" s="8">
        <f>Table4[[#This Row],[LOG(Bahamas)]]-H29</f>
        <v>9.7201100739239266E-2</v>
      </c>
      <c r="J30" s="8">
        <f>LN(Table4[[#This Row],[CYM]])</f>
        <v>11.147384764671866</v>
      </c>
      <c r="K30" s="8">
        <f>Table4[[#This Row],[LOG(Cayman Islands)]]-J29</f>
        <v>0.2059971741233575</v>
      </c>
      <c r="L30" s="8">
        <f>LN(Table4[[#This Row],[EGY]])</f>
        <v>8.3894461798135929</v>
      </c>
      <c r="M30" s="8">
        <f>Table4[[#This Row],[LOG(Egypt)]]-L29</f>
        <v>-7.7825984714543495E-3</v>
      </c>
      <c r="N30" s="8">
        <f>LN(Table4[[#This Row],[SAU]])</f>
        <v>9.6480570935825511</v>
      </c>
      <c r="O30" s="8">
        <f>Table4[[#This Row],[LOG(Saudi Arabia)]]-N29</f>
        <v>-0.10975476476701473</v>
      </c>
      <c r="P30" s="9">
        <f>$AC$17+$AC$18*Table4[[#This Row],[DecDate]]+$AC$19*Table4[[#This Row],[DecDate^2]]</f>
        <v>10.284303145454942</v>
      </c>
      <c r="Q30" s="9">
        <f>$AC$37+$AC$38*Table4[[#This Row],[DecDate]]+$AC$39*Table4[[#This Row],[DecDate^2]]</f>
        <v>11.027193978307423</v>
      </c>
      <c r="R30" s="9">
        <f>$W$57+$W$58*Table4[[#This Row],[DecDate]]+$W$59*Table4[[#This Row],[DecDate^2]]</f>
        <v>8.2183943982049641</v>
      </c>
      <c r="S30" s="9">
        <f>$W$77+$W$78*Table4[[#This Row],[DecDate]]+$W$79*Table4[[#This Row],[DecDate^2]]</f>
        <v>9.9392338976913379</v>
      </c>
      <c r="T30" s="9">
        <f>Table4[[#This Row],[LOG(Bahamas)]]-Table4[[#This Row],[Trend(Bahamas)]]</f>
        <v>6.556558528436085E-2</v>
      </c>
      <c r="U30" s="9">
        <f>Table4[[#This Row],[LOG(Cayman Islands)]]-Table4[[#This Row],[Trend(Cayman Island)]]</f>
        <v>0.12019078636444291</v>
      </c>
      <c r="V30" s="9">
        <f>Table4[[#This Row],[LOG(Egypt)]]-Table4[[#This Row],[Trend(Egypt)]]</f>
        <v>0.17105178160862877</v>
      </c>
      <c r="W30" s="9">
        <f>Table4[[#This Row],[LOG(Saudi Arabia)]]-Table4[[#This Row],[Trend(Saudi Arabia)]]</f>
        <v>-0.29117680410878677</v>
      </c>
      <c r="X30" s="9"/>
      <c r="Y30" s="9"/>
      <c r="AB30" t="s">
        <v>14</v>
      </c>
    </row>
    <row r="31" spans="1:36" x14ac:dyDescent="0.35">
      <c r="A31">
        <v>1999</v>
      </c>
      <c r="B31">
        <f>Table4[[#This Row],[Year]]+0.5</f>
        <v>1999.5</v>
      </c>
      <c r="C31">
        <f>Table4[[#This Row],[DecDate]]*Table4[[#This Row],[DecDate]]</f>
        <v>3998000.25</v>
      </c>
      <c r="D31" s="8">
        <v>33859.360000000001</v>
      </c>
      <c r="E31" s="8">
        <v>67981.679999999993</v>
      </c>
      <c r="F31" s="8">
        <v>4559.9399999999996</v>
      </c>
      <c r="G31" s="8">
        <v>17090.5</v>
      </c>
      <c r="H31" s="8">
        <f>LN(Table4[[#This Row],[BHS]])</f>
        <v>10.429970754149958</v>
      </c>
      <c r="I31" s="8">
        <f>Table4[[#This Row],[LOG(Bahamas)]]-H30</f>
        <v>8.0102023410654866E-2</v>
      </c>
      <c r="J31" s="8">
        <f>LN(Table4[[#This Row],[CYM]])</f>
        <v>11.126993536095668</v>
      </c>
      <c r="K31" s="8">
        <f>Table4[[#This Row],[LOG(Cayman Islands)]]-J30</f>
        <v>-2.0391228576198017E-2</v>
      </c>
      <c r="L31" s="8">
        <f>LN(Table4[[#This Row],[EGY]])</f>
        <v>8.4250647445271287</v>
      </c>
      <c r="M31" s="8">
        <f>Table4[[#This Row],[LOG(Egypt)]]-L30</f>
        <v>3.5618564713535861E-2</v>
      </c>
      <c r="N31" s="8">
        <f>LN(Table4[[#This Row],[SAU]])</f>
        <v>9.7462780325570275</v>
      </c>
      <c r="O31" s="8">
        <f>Table4[[#This Row],[LOG(Saudi Arabia)]]-N30</f>
        <v>9.8220938974476368E-2</v>
      </c>
      <c r="P31" s="9">
        <f>$AC$17+$AC$18*Table4[[#This Row],[DecDate]]+$AC$19*Table4[[#This Row],[DecDate^2]]</f>
        <v>10.297537419071432</v>
      </c>
      <c r="Q31" s="9">
        <f>$AC$37+$AC$38*Table4[[#This Row],[DecDate]]+$AC$39*Table4[[#This Row],[DecDate^2]]</f>
        <v>11.034075679365287</v>
      </c>
      <c r="R31" s="9">
        <f>$W$57+$W$58*Table4[[#This Row],[DecDate]]+$W$59*Table4[[#This Row],[DecDate^2]]</f>
        <v>8.2767964687668609</v>
      </c>
      <c r="S31" s="9">
        <f>$W$77+$W$78*Table4[[#This Row],[DecDate]]+$W$79*Table4[[#This Row],[DecDate^2]]</f>
        <v>9.9633969211308795</v>
      </c>
      <c r="T31" s="9">
        <f>Table4[[#This Row],[LOG(Bahamas)]]-Table4[[#This Row],[Trend(Bahamas)]]</f>
        <v>0.13243333507852562</v>
      </c>
      <c r="U31" s="9">
        <f>Table4[[#This Row],[LOG(Cayman Islands)]]-Table4[[#This Row],[Trend(Cayman Island)]]</f>
        <v>9.2917856730380777E-2</v>
      </c>
      <c r="V31" s="9">
        <f>Table4[[#This Row],[LOG(Egypt)]]-Table4[[#This Row],[Trend(Egypt)]]</f>
        <v>0.1482682757602678</v>
      </c>
      <c r="W31" s="9">
        <f>Table4[[#This Row],[LOG(Saudi Arabia)]]-Table4[[#This Row],[Trend(Saudi Arabia)]]</f>
        <v>-0.21711888857385198</v>
      </c>
      <c r="X31" s="9"/>
      <c r="Y31" s="9"/>
      <c r="AB31" s="3"/>
      <c r="AC31" s="3" t="s">
        <v>19</v>
      </c>
      <c r="AD31" s="3" t="s">
        <v>20</v>
      </c>
      <c r="AE31" s="3" t="s">
        <v>21</v>
      </c>
      <c r="AF31" s="3" t="s">
        <v>22</v>
      </c>
      <c r="AG31" s="3" t="s">
        <v>23</v>
      </c>
    </row>
    <row r="32" spans="1:36" x14ac:dyDescent="0.35">
      <c r="A32">
        <v>2000</v>
      </c>
      <c r="B32">
        <f>Table4[[#This Row],[Year]]+0.5</f>
        <v>2000.5</v>
      </c>
      <c r="C32">
        <f>Table4[[#This Row],[DecDate]]*Table4[[#This Row],[DecDate]]</f>
        <v>4002000.25</v>
      </c>
      <c r="D32" s="8">
        <v>34784.239999999998</v>
      </c>
      <c r="E32" s="8">
        <v>65551.759999999995</v>
      </c>
      <c r="F32" s="8">
        <v>4689.53</v>
      </c>
      <c r="G32" s="8">
        <v>19753.099999999999</v>
      </c>
      <c r="H32" s="8">
        <f>LN(Table4[[#This Row],[BHS]])</f>
        <v>10.456919689621143</v>
      </c>
      <c r="I32" s="8">
        <f>Table4[[#This Row],[LOG(Bahamas)]]-H31</f>
        <v>2.694893547118582E-2</v>
      </c>
      <c r="J32" s="8">
        <f>LN(Table4[[#This Row],[CYM]])</f>
        <v>11.090595338564427</v>
      </c>
      <c r="K32" s="8">
        <f>Table4[[#This Row],[LOG(Cayman Islands)]]-J31</f>
        <v>-3.6398197531241294E-2</v>
      </c>
      <c r="L32" s="8">
        <f>LN(Table4[[#This Row],[EGY]])</f>
        <v>8.4530876431990283</v>
      </c>
      <c r="M32" s="8">
        <f>Table4[[#This Row],[LOG(Egypt)]]-L31</f>
        <v>2.8022898671899554E-2</v>
      </c>
      <c r="N32" s="8">
        <f>LN(Table4[[#This Row],[SAU]])</f>
        <v>9.891065720037334</v>
      </c>
      <c r="O32" s="8">
        <f>Table4[[#This Row],[LOG(Saudi Arabia)]]-N31</f>
        <v>0.14478768748030646</v>
      </c>
      <c r="P32" s="9">
        <f>$AC$17+$AC$18*Table4[[#This Row],[DecDate]]+$AC$19*Table4[[#This Row],[DecDate^2]]</f>
        <v>10.309668243676242</v>
      </c>
      <c r="Q32" s="9">
        <f>$AC$37+$AC$38*Table4[[#This Row],[DecDate]]+$AC$39*Table4[[#This Row],[DecDate^2]]</f>
        <v>11.039074007845102</v>
      </c>
      <c r="R32" s="9">
        <f>$W$57+$W$58*Table4[[#This Row],[DecDate]]+$W$59*Table4[[#This Row],[DecDate^2]]</f>
        <v>8.3358445930978178</v>
      </c>
      <c r="S32" s="9">
        <f>$W$77+$W$78*Table4[[#This Row],[DecDate]]+$W$79*Table4[[#This Row],[DecDate^2]]</f>
        <v>9.9906673392224548</v>
      </c>
      <c r="T32" s="9">
        <f>Table4[[#This Row],[LOG(Bahamas)]]-Table4[[#This Row],[Trend(Bahamas)]]</f>
        <v>0.14725144594490125</v>
      </c>
      <c r="U32" s="9">
        <f>Table4[[#This Row],[LOG(Cayman Islands)]]-Table4[[#This Row],[Trend(Cayman Island)]]</f>
        <v>5.1521330719324965E-2</v>
      </c>
      <c r="V32" s="9">
        <f>Table4[[#This Row],[LOG(Egypt)]]-Table4[[#This Row],[Trend(Egypt)]]</f>
        <v>0.1172430501012105</v>
      </c>
      <c r="W32" s="9">
        <f>Table4[[#This Row],[LOG(Saudi Arabia)]]-Table4[[#This Row],[Trend(Saudi Arabia)]]</f>
        <v>-9.9601619185120782E-2</v>
      </c>
      <c r="X32" s="9"/>
      <c r="Y32" s="9"/>
      <c r="AB32" s="1" t="s">
        <v>15</v>
      </c>
      <c r="AC32" s="1">
        <v>2</v>
      </c>
      <c r="AD32" s="1">
        <v>3.6996779068395536</v>
      </c>
      <c r="AE32" s="1">
        <v>1.8498389534197768</v>
      </c>
      <c r="AF32" s="1">
        <v>571.48451085210013</v>
      </c>
      <c r="AG32" s="1">
        <v>1.033157312096741E-32</v>
      </c>
    </row>
    <row r="33" spans="1:36" x14ac:dyDescent="0.35">
      <c r="A33">
        <v>2001</v>
      </c>
      <c r="B33">
        <f>Table4[[#This Row],[Year]]+0.5</f>
        <v>2001.5</v>
      </c>
      <c r="C33">
        <f>Table4[[#This Row],[DecDate]]*Table4[[#This Row],[DecDate]]</f>
        <v>4006002.25</v>
      </c>
      <c r="D33" s="8">
        <v>33826.1</v>
      </c>
      <c r="E33" s="8">
        <v>63443.94</v>
      </c>
      <c r="F33" s="8">
        <v>4824.62</v>
      </c>
      <c r="G33" s="8">
        <v>18371.23</v>
      </c>
      <c r="H33" s="8">
        <f>LN(Table4[[#This Row],[BHS]])</f>
        <v>10.428987972835417</v>
      </c>
      <c r="I33" s="8">
        <f>Table4[[#This Row],[LOG(Bahamas)]]-H32</f>
        <v>-2.7931716785726479E-2</v>
      </c>
      <c r="J33" s="8">
        <f>LN(Table4[[#This Row],[CYM]])</f>
        <v>11.057911960307097</v>
      </c>
      <c r="K33" s="8">
        <f>Table4[[#This Row],[LOG(Cayman Islands)]]-J32</f>
        <v>-3.268337825732992E-2</v>
      </c>
      <c r="L33" s="8">
        <f>LN(Table4[[#This Row],[EGY]])</f>
        <v>8.4814872541949473</v>
      </c>
      <c r="M33" s="8">
        <f>Table4[[#This Row],[LOG(Egypt)]]-L32</f>
        <v>2.8399610995919033E-2</v>
      </c>
      <c r="N33" s="8">
        <f>LN(Table4[[#This Row],[SAU]])</f>
        <v>9.8185411329627517</v>
      </c>
      <c r="O33" s="8">
        <f>Table4[[#This Row],[LOG(Saudi Arabia)]]-N32</f>
        <v>-7.2524587074582314E-2</v>
      </c>
      <c r="P33" s="9">
        <f>$AC$17+$AC$18*Table4[[#This Row],[DecDate]]+$AC$19*Table4[[#This Row],[DecDate^2]]</f>
        <v>10.320695619272101</v>
      </c>
      <c r="Q33" s="9">
        <f>$AC$37+$AC$38*Table4[[#This Row],[DecDate]]+$AC$39*Table4[[#This Row],[DecDate^2]]</f>
        <v>11.042188963745502</v>
      </c>
      <c r="R33" s="9">
        <f>$W$57+$W$58*Table4[[#This Row],[DecDate]]+$W$59*Table4[[#This Row],[DecDate^2]]</f>
        <v>8.3955387711978346</v>
      </c>
      <c r="S33" s="9">
        <f>$W$77+$W$78*Table4[[#This Row],[DecDate]]+$W$79*Table4[[#This Row],[DecDate^2]]</f>
        <v>10.021045151965154</v>
      </c>
      <c r="T33" s="9">
        <f>Table4[[#This Row],[LOG(Bahamas)]]-Table4[[#This Row],[Trend(Bahamas)]]</f>
        <v>0.10829235356331601</v>
      </c>
      <c r="U33" s="9">
        <f>Table4[[#This Row],[LOG(Cayman Islands)]]-Table4[[#This Row],[Trend(Cayman Island)]]</f>
        <v>1.5722996561594371E-2</v>
      </c>
      <c r="V33" s="9">
        <f>Table4[[#This Row],[LOG(Egypt)]]-Table4[[#This Row],[Trend(Egypt)]]</f>
        <v>8.5948482997112663E-2</v>
      </c>
      <c r="W33" s="9">
        <f>Table4[[#This Row],[LOG(Saudi Arabia)]]-Table4[[#This Row],[Trend(Saudi Arabia)]]</f>
        <v>-0.20250401900240256</v>
      </c>
      <c r="X33" s="9"/>
      <c r="Y33" s="9"/>
      <c r="AB33" s="1" t="s">
        <v>16</v>
      </c>
      <c r="AC33" s="1">
        <v>45</v>
      </c>
      <c r="AD33" s="1">
        <v>0.14566055828839974</v>
      </c>
      <c r="AE33" s="1">
        <v>3.2369012952977723E-3</v>
      </c>
      <c r="AF33" s="1"/>
      <c r="AG33" s="1"/>
    </row>
    <row r="34" spans="1:36" ht="15" thickBot="1" x14ac:dyDescent="0.4">
      <c r="A34">
        <v>2002</v>
      </c>
      <c r="B34">
        <f>Table4[[#This Row],[Year]]+0.5</f>
        <v>2002.5</v>
      </c>
      <c r="C34">
        <f>Table4[[#This Row],[DecDate]]*Table4[[#This Row],[DecDate]]</f>
        <v>4010006.25</v>
      </c>
      <c r="D34" s="8">
        <v>36418.39</v>
      </c>
      <c r="E34" s="8">
        <v>62488.97</v>
      </c>
      <c r="F34" s="8">
        <v>4870.1499999999996</v>
      </c>
      <c r="G34" s="8">
        <v>19717.259999999998</v>
      </c>
      <c r="H34" s="8">
        <f>LN(Table4[[#This Row],[BHS]])</f>
        <v>10.502829145824508</v>
      </c>
      <c r="I34" s="8">
        <f>Table4[[#This Row],[LOG(Bahamas)]]-H33</f>
        <v>7.3841172989091319E-2</v>
      </c>
      <c r="J34" s="8">
        <f>LN(Table4[[#This Row],[CYM]])</f>
        <v>11.042745340150065</v>
      </c>
      <c r="K34" s="8">
        <f>Table4[[#This Row],[LOG(Cayman Islands)]]-J33</f>
        <v>-1.5166620157032185E-2</v>
      </c>
      <c r="L34" s="8">
        <f>LN(Table4[[#This Row],[EGY]])</f>
        <v>8.4908800164236542</v>
      </c>
      <c r="M34" s="8">
        <f>Table4[[#This Row],[LOG(Egypt)]]-L33</f>
        <v>9.3927622287068857E-3</v>
      </c>
      <c r="N34" s="8">
        <f>LN(Table4[[#This Row],[SAU]])</f>
        <v>9.8892496732695783</v>
      </c>
      <c r="O34" s="8">
        <f>Table4[[#This Row],[LOG(Saudi Arabia)]]-N33</f>
        <v>7.0708540306826606E-2</v>
      </c>
      <c r="P34" s="9">
        <f>$AC$17+$AC$18*Table4[[#This Row],[DecDate]]+$AC$19*Table4[[#This Row],[DecDate^2]]</f>
        <v>10.330619545857189</v>
      </c>
      <c r="Q34" s="9">
        <f>$AC$37+$AC$38*Table4[[#This Row],[DecDate]]+$AC$39*Table4[[#This Row],[DecDate^2]]</f>
        <v>11.043420547068308</v>
      </c>
      <c r="R34" s="9">
        <f>$W$57+$W$58*Table4[[#This Row],[DecDate]]+$W$59*Table4[[#This Row],[DecDate^2]]</f>
        <v>8.4558790030671389</v>
      </c>
      <c r="S34" s="9">
        <f>$W$77+$W$78*Table4[[#This Row],[DecDate]]+$W$79*Table4[[#This Row],[DecDate^2]]</f>
        <v>10.054530359361706</v>
      </c>
      <c r="T34" s="9">
        <f>Table4[[#This Row],[LOG(Bahamas)]]-Table4[[#This Row],[Trend(Bahamas)]]</f>
        <v>0.17220959996731899</v>
      </c>
      <c r="U34" s="9">
        <f>Table4[[#This Row],[LOG(Cayman Islands)]]-Table4[[#This Row],[Trend(Cayman Island)]]</f>
        <v>-6.7520691824363155E-4</v>
      </c>
      <c r="V34" s="9">
        <f>Table4[[#This Row],[LOG(Egypt)]]-Table4[[#This Row],[Trend(Egypt)]]</f>
        <v>3.5001013356515287E-2</v>
      </c>
      <c r="W34" s="9">
        <f>Table4[[#This Row],[LOG(Saudi Arabia)]]-Table4[[#This Row],[Trend(Saudi Arabia)]]</f>
        <v>-0.16528068609212809</v>
      </c>
      <c r="X34" s="9"/>
      <c r="Y34" s="9"/>
      <c r="AB34" s="2" t="s">
        <v>17</v>
      </c>
      <c r="AC34" s="2">
        <v>47</v>
      </c>
      <c r="AD34" s="2">
        <v>3.8453384651279534</v>
      </c>
      <c r="AE34" s="2"/>
      <c r="AF34" s="2"/>
      <c r="AG34" s="2"/>
    </row>
    <row r="35" spans="1:36" ht="15" thickBot="1" x14ac:dyDescent="0.4">
      <c r="A35">
        <v>2003</v>
      </c>
      <c r="B35">
        <f>Table4[[#This Row],[Year]]+0.5</f>
        <v>2003.5</v>
      </c>
      <c r="C35">
        <f>Table4[[#This Row],[DecDate]]*Table4[[#This Row],[DecDate]]</f>
        <v>4014012.25</v>
      </c>
      <c r="D35" s="8">
        <v>34853.85</v>
      </c>
      <c r="E35" s="8">
        <v>61949.72</v>
      </c>
      <c r="F35" s="8">
        <v>4968.1899999999996</v>
      </c>
      <c r="G35" s="8">
        <v>20818.689999999999</v>
      </c>
      <c r="H35" s="8">
        <f>LN(Table4[[#This Row],[BHS]])</f>
        <v>10.458918883544603</v>
      </c>
      <c r="I35" s="8">
        <f>Table4[[#This Row],[LOG(Bahamas)]]-H34</f>
        <v>-4.3910262279904799E-2</v>
      </c>
      <c r="J35" s="8">
        <f>LN(Table4[[#This Row],[CYM]])</f>
        <v>11.034078367273063</v>
      </c>
      <c r="K35" s="8">
        <f>Table4[[#This Row],[LOG(Cayman Islands)]]-J34</f>
        <v>-8.6669728770019105E-3</v>
      </c>
      <c r="L35" s="8">
        <f>LN(Table4[[#This Row],[EGY]])</f>
        <v>8.510810867648507</v>
      </c>
      <c r="M35" s="8">
        <f>Table4[[#This Row],[LOG(Egypt)]]-L34</f>
        <v>1.993085122485283E-2</v>
      </c>
      <c r="N35" s="8">
        <f>LN(Table4[[#This Row],[SAU]])</f>
        <v>9.9436064199204246</v>
      </c>
      <c r="O35" s="8">
        <f>Table4[[#This Row],[LOG(Saudi Arabia)]]-N34</f>
        <v>5.4356746650846333E-2</v>
      </c>
      <c r="P35" s="9">
        <f>$AC$17+$AC$18*Table4[[#This Row],[DecDate]]+$AC$19*Table4[[#This Row],[DecDate^2]]</f>
        <v>10.339440023431052</v>
      </c>
      <c r="Q35" s="9">
        <f>$AC$37+$AC$38*Table4[[#This Row],[DecDate]]+$AC$39*Table4[[#This Row],[DecDate^2]]</f>
        <v>11.0427687578117</v>
      </c>
      <c r="R35" s="9">
        <f>$W$57+$W$58*Table4[[#This Row],[DecDate]]+$W$59*Table4[[#This Row],[DecDate^2]]</f>
        <v>8.5168652887055032</v>
      </c>
      <c r="S35" s="9">
        <f>$W$77+$W$78*Table4[[#This Row],[DecDate]]+$W$79*Table4[[#This Row],[DecDate^2]]</f>
        <v>10.091122961408473</v>
      </c>
      <c r="T35" s="9">
        <f>Table4[[#This Row],[LOG(Bahamas)]]-Table4[[#This Row],[Trend(Bahamas)]]</f>
        <v>0.11947886011355102</v>
      </c>
      <c r="U35" s="9">
        <f>Table4[[#This Row],[LOG(Cayman Islands)]]-Table4[[#This Row],[Trend(Cayman Island)]]</f>
        <v>-8.6903905386375158E-3</v>
      </c>
      <c r="V35" s="9">
        <f>Table4[[#This Row],[LOG(Egypt)]]-Table4[[#This Row],[Trend(Egypt)]]</f>
        <v>-6.0544210569961621E-3</v>
      </c>
      <c r="W35" s="9">
        <f>Table4[[#This Row],[LOG(Saudi Arabia)]]-Table4[[#This Row],[Trend(Saudi Arabia)]]</f>
        <v>-0.1475165414880486</v>
      </c>
      <c r="X35" s="9"/>
      <c r="Y35" s="9"/>
    </row>
    <row r="36" spans="1:36" x14ac:dyDescent="0.35">
      <c r="A36">
        <v>2004</v>
      </c>
      <c r="B36">
        <f>Table4[[#This Row],[Year]]+0.5</f>
        <v>2004.5</v>
      </c>
      <c r="C36">
        <f>Table4[[#This Row],[DecDate]]*Table4[[#This Row],[DecDate]]</f>
        <v>4018020.25</v>
      </c>
      <c r="D36" s="8">
        <v>33573.440000000002</v>
      </c>
      <c r="E36" s="8">
        <v>60824.49</v>
      </c>
      <c r="F36" s="8">
        <v>5117.8999999999996</v>
      </c>
      <c r="G36" s="8">
        <v>24058.14</v>
      </c>
      <c r="H36" s="8">
        <f>LN(Table4[[#This Row],[BHS]])</f>
        <v>10.421490557169774</v>
      </c>
      <c r="I36" s="8">
        <f>Table4[[#This Row],[LOG(Bahamas)]]-H35</f>
        <v>-3.7428326374829624E-2</v>
      </c>
      <c r="J36" s="8">
        <f>LN(Table4[[#This Row],[CYM]])</f>
        <v>11.015747782906336</v>
      </c>
      <c r="K36" s="8">
        <f>Table4[[#This Row],[LOG(Cayman Islands)]]-J35</f>
        <v>-1.8330584366726299E-2</v>
      </c>
      <c r="L36" s="8">
        <f>LN(Table4[[#This Row],[EGY]])</f>
        <v>8.5404994776464722</v>
      </c>
      <c r="M36" s="8">
        <f>Table4[[#This Row],[LOG(Egypt)]]-L35</f>
        <v>2.9688609997965187E-2</v>
      </c>
      <c r="N36" s="8">
        <f>LN(Table4[[#This Row],[SAU]])</f>
        <v>10.088228679807184</v>
      </c>
      <c r="O36" s="8">
        <f>Table4[[#This Row],[LOG(Saudi Arabia)]]-N35</f>
        <v>0.14462225988675925</v>
      </c>
      <c r="P36" s="9">
        <f>$AC$17+$AC$18*Table4[[#This Row],[DecDate]]+$AC$19*Table4[[#This Row],[DecDate^2]]</f>
        <v>10.347157051995509</v>
      </c>
      <c r="Q36" s="9">
        <f>$AC$37+$AC$38*Table4[[#This Row],[DecDate]]+$AC$39*Table4[[#This Row],[DecDate^2]]</f>
        <v>11.040233595977497</v>
      </c>
      <c r="R36" s="9">
        <f>$W$57+$W$58*Table4[[#This Row],[DecDate]]+$W$59*Table4[[#This Row],[DecDate^2]]</f>
        <v>8.5784976281124727</v>
      </c>
      <c r="S36" s="9">
        <f>$W$77+$W$78*Table4[[#This Row],[DecDate]]+$W$79*Table4[[#This Row],[DecDate^2]]</f>
        <v>10.130822958110002</v>
      </c>
      <c r="T36" s="9">
        <f>Table4[[#This Row],[LOG(Bahamas)]]-Table4[[#This Row],[Trend(Bahamas)]]</f>
        <v>7.4333505174264403E-2</v>
      </c>
      <c r="U36" s="9">
        <f>Table4[[#This Row],[LOG(Cayman Islands)]]-Table4[[#This Row],[Trend(Cayman Island)]]</f>
        <v>-2.4485813071160933E-2</v>
      </c>
      <c r="V36" s="9">
        <f>Table4[[#This Row],[LOG(Egypt)]]-Table4[[#This Row],[Trend(Egypt)]]</f>
        <v>-3.7998150466000524E-2</v>
      </c>
      <c r="W36" s="9">
        <f>Table4[[#This Row],[LOG(Saudi Arabia)]]-Table4[[#This Row],[Trend(Saudi Arabia)]]</f>
        <v>-4.2594278302818367E-2</v>
      </c>
      <c r="X36" s="9"/>
      <c r="Y36" s="9"/>
      <c r="AB36" s="3"/>
      <c r="AC36" s="3" t="s">
        <v>24</v>
      </c>
      <c r="AD36" s="3" t="s">
        <v>12</v>
      </c>
      <c r="AE36" s="3" t="s">
        <v>25</v>
      </c>
      <c r="AF36" s="3" t="s">
        <v>26</v>
      </c>
      <c r="AG36" s="3" t="s">
        <v>27</v>
      </c>
      <c r="AH36" s="3" t="s">
        <v>28</v>
      </c>
      <c r="AI36" s="3" t="s">
        <v>29</v>
      </c>
      <c r="AJ36" s="3" t="s">
        <v>30</v>
      </c>
    </row>
    <row r="37" spans="1:36" x14ac:dyDescent="0.35">
      <c r="A37">
        <v>2005</v>
      </c>
      <c r="B37">
        <f>Table4[[#This Row],[Year]]+0.5</f>
        <v>2005.5</v>
      </c>
      <c r="C37">
        <f>Table4[[#This Row],[DecDate]]*Table4[[#This Row],[DecDate]]</f>
        <v>4022030.25</v>
      </c>
      <c r="D37" s="8">
        <v>35196.61</v>
      </c>
      <c r="E37" s="8">
        <v>63009.75</v>
      </c>
      <c r="F37" s="8">
        <v>5203.6400000000003</v>
      </c>
      <c r="G37" s="8">
        <v>28314.6</v>
      </c>
      <c r="H37" s="8">
        <f>LN(Table4[[#This Row],[BHS]])</f>
        <v>10.468705050130207</v>
      </c>
      <c r="I37" s="8">
        <f>Table4[[#This Row],[LOG(Bahamas)]]-H36</f>
        <v>4.7214492960433674E-2</v>
      </c>
      <c r="J37" s="8">
        <f>LN(Table4[[#This Row],[CYM]])</f>
        <v>11.051044755304044</v>
      </c>
      <c r="K37" s="8">
        <f>Table4[[#This Row],[LOG(Cayman Islands)]]-J36</f>
        <v>3.5296972397707904E-2</v>
      </c>
      <c r="L37" s="8">
        <f>LN(Table4[[#This Row],[EGY]])</f>
        <v>8.5571136596837913</v>
      </c>
      <c r="M37" s="8">
        <f>Table4[[#This Row],[LOG(Egypt)]]-L36</f>
        <v>1.6614182037319125E-2</v>
      </c>
      <c r="N37" s="8">
        <f>LN(Table4[[#This Row],[SAU]])</f>
        <v>10.2511328516602</v>
      </c>
      <c r="O37" s="8">
        <f>Table4[[#This Row],[LOG(Saudi Arabia)]]-N36</f>
        <v>0.16290417185301642</v>
      </c>
      <c r="P37" s="9">
        <f>$AC$17+$AC$18*Table4[[#This Row],[DecDate]]+$AC$19*Table4[[#This Row],[DecDate^2]]</f>
        <v>10.353770631549651</v>
      </c>
      <c r="Q37" s="9">
        <f>$AC$37+$AC$38*Table4[[#This Row],[DecDate]]+$AC$39*Table4[[#This Row],[DecDate^2]]</f>
        <v>11.035815061563881</v>
      </c>
      <c r="R37" s="9">
        <f>$W$57+$W$58*Table4[[#This Row],[DecDate]]+$W$59*Table4[[#This Row],[DecDate^2]]</f>
        <v>8.6407760212889571</v>
      </c>
      <c r="S37" s="9">
        <f>$W$77+$W$78*Table4[[#This Row],[DecDate]]+$W$79*Table4[[#This Row],[DecDate^2]]</f>
        <v>10.173630349461746</v>
      </c>
      <c r="T37" s="9">
        <f>Table4[[#This Row],[LOG(Bahamas)]]-Table4[[#This Row],[Trend(Bahamas)]]</f>
        <v>0.11493441858055675</v>
      </c>
      <c r="U37" s="9">
        <f>Table4[[#This Row],[LOG(Cayman Islands)]]-Table4[[#This Row],[Trend(Cayman Island)]]</f>
        <v>1.5229693740163697E-2</v>
      </c>
      <c r="V37" s="9">
        <f>Table4[[#This Row],[LOG(Egypt)]]-Table4[[#This Row],[Trend(Egypt)]]</f>
        <v>-8.3662361605165714E-2</v>
      </c>
      <c r="W37" s="9">
        <f>Table4[[#This Row],[LOG(Saudi Arabia)]]-Table4[[#This Row],[Trend(Saudi Arabia)]]</f>
        <v>7.7502502198454337E-2</v>
      </c>
      <c r="X37" s="9"/>
      <c r="Y37" s="9"/>
      <c r="AB37" s="1" t="s">
        <v>18</v>
      </c>
      <c r="AC37" s="1">
        <v>-3765.7050037769263</v>
      </c>
      <c r="AD37" s="1">
        <v>190.32997696816227</v>
      </c>
      <c r="AE37" s="1">
        <v>-19.78513875618679</v>
      </c>
      <c r="AF37" s="1">
        <v>7.8381050750780091E-24</v>
      </c>
      <c r="AG37" s="1">
        <v>-4149.0492553941149</v>
      </c>
      <c r="AH37" s="1">
        <v>-3382.3607521597373</v>
      </c>
      <c r="AI37" s="1">
        <v>-4149.0492553941149</v>
      </c>
      <c r="AJ37" s="1">
        <v>-3382.3607521597373</v>
      </c>
    </row>
    <row r="38" spans="1:36" x14ac:dyDescent="0.35">
      <c r="A38">
        <v>2006</v>
      </c>
      <c r="B38">
        <f>Table4[[#This Row],[Year]]+0.5</f>
        <v>2006.5</v>
      </c>
      <c r="C38">
        <f>Table4[[#This Row],[DecDate]]*Table4[[#This Row],[DecDate]]</f>
        <v>4026042.25</v>
      </c>
      <c r="D38" s="8">
        <v>34926.559999999998</v>
      </c>
      <c r="E38" s="8">
        <v>64055.66</v>
      </c>
      <c r="F38" s="8">
        <v>5714.7</v>
      </c>
      <c r="G38" s="8">
        <v>32015.57</v>
      </c>
      <c r="H38" s="8">
        <f>LN(Table4[[#This Row],[BHS]])</f>
        <v>10.461002850271495</v>
      </c>
      <c r="I38" s="8">
        <f>Table4[[#This Row],[LOG(Bahamas)]]-H37</f>
        <v>-7.7021998587127882E-3</v>
      </c>
      <c r="J38" s="8">
        <f>LN(Table4[[#This Row],[CYM]])</f>
        <v>11.067507671882757</v>
      </c>
      <c r="K38" s="8">
        <f>Table4[[#This Row],[LOG(Cayman Islands)]]-J37</f>
        <v>1.6462916578712239E-2</v>
      </c>
      <c r="L38" s="8">
        <f>LN(Table4[[#This Row],[EGY]])</f>
        <v>8.6507970814127617</v>
      </c>
      <c r="M38" s="8">
        <f>Table4[[#This Row],[LOG(Egypt)]]-L37</f>
        <v>9.3683421728970373E-2</v>
      </c>
      <c r="N38" s="8">
        <f>LN(Table4[[#This Row],[SAU]])</f>
        <v>10.373977625948713</v>
      </c>
      <c r="O38" s="8">
        <f>Table4[[#This Row],[LOG(Saudi Arabia)]]-N37</f>
        <v>0.12284477428851304</v>
      </c>
      <c r="P38" s="9">
        <f>$AC$17+$AC$18*Table4[[#This Row],[DecDate]]+$AC$19*Table4[[#This Row],[DecDate^2]]</f>
        <v>10.359280762093476</v>
      </c>
      <c r="Q38" s="9">
        <f>$AC$37+$AC$38*Table4[[#This Row],[DecDate]]+$AC$39*Table4[[#This Row],[DecDate^2]]</f>
        <v>11.029513154572669</v>
      </c>
      <c r="R38" s="9">
        <f>$W$57+$W$58*Table4[[#This Row],[DecDate]]+$W$59*Table4[[#This Row],[DecDate^2]]</f>
        <v>8.7037004682347288</v>
      </c>
      <c r="S38" s="9">
        <f>$W$77+$W$78*Table4[[#This Row],[DecDate]]+$W$79*Table4[[#This Row],[DecDate^2]]</f>
        <v>10.219545135468252</v>
      </c>
      <c r="T38" s="9">
        <f>Table4[[#This Row],[LOG(Bahamas)]]-Table4[[#This Row],[Trend(Bahamas)]]</f>
        <v>0.10172208817801831</v>
      </c>
      <c r="U38" s="9">
        <f>Table4[[#This Row],[LOG(Cayman Islands)]]-Table4[[#This Row],[Trend(Cayman Island)]]</f>
        <v>3.7994517310087517E-2</v>
      </c>
      <c r="V38" s="9">
        <f>Table4[[#This Row],[LOG(Egypt)]]-Table4[[#This Row],[Trend(Egypt)]]</f>
        <v>-5.2903386821967047E-2</v>
      </c>
      <c r="W38" s="9">
        <f>Table4[[#This Row],[LOG(Saudi Arabia)]]-Table4[[#This Row],[Trend(Saudi Arabia)]]</f>
        <v>0.15443249048046148</v>
      </c>
      <c r="X38" s="9"/>
      <c r="Y38" s="9"/>
      <c r="AB38" s="1" t="s">
        <v>31</v>
      </c>
      <c r="AC38" s="1">
        <v>3.7717434855626291</v>
      </c>
      <c r="AD38" s="1">
        <v>0.19090913867849826</v>
      </c>
      <c r="AE38" s="1">
        <v>19.756746647495266</v>
      </c>
      <c r="AF38" s="1">
        <v>8.3069236932923332E-24</v>
      </c>
      <c r="AG38" s="1">
        <v>3.3872327423819426</v>
      </c>
      <c r="AH38" s="1">
        <v>4.1562542287433155</v>
      </c>
      <c r="AI38" s="1">
        <v>3.3872327423819426</v>
      </c>
      <c r="AJ38" s="1">
        <v>4.1562542287433155</v>
      </c>
    </row>
    <row r="39" spans="1:36" ht="15" thickBot="1" x14ac:dyDescent="0.4">
      <c r="A39">
        <v>2007</v>
      </c>
      <c r="B39">
        <f>Table4[[#This Row],[Year]]+0.5</f>
        <v>2007.5</v>
      </c>
      <c r="C39">
        <f>Table4[[#This Row],[DecDate]]*Table4[[#This Row],[DecDate]]</f>
        <v>4030056.25</v>
      </c>
      <c r="D39" s="8">
        <v>35920.26</v>
      </c>
      <c r="E39" s="8">
        <v>64219.09</v>
      </c>
      <c r="F39" s="8">
        <v>6364.81</v>
      </c>
      <c r="G39" s="8">
        <v>34430.720000000001</v>
      </c>
      <c r="H39" s="8">
        <f>LN(Table4[[#This Row],[BHS]])</f>
        <v>10.48905676069729</v>
      </c>
      <c r="I39" s="8">
        <f>Table4[[#This Row],[LOG(Bahamas)]]-H38</f>
        <v>2.8053910425795081E-2</v>
      </c>
      <c r="J39" s="8">
        <f>LN(Table4[[#This Row],[CYM]])</f>
        <v>11.070055797502624</v>
      </c>
      <c r="K39" s="8">
        <f>Table4[[#This Row],[LOG(Cayman Islands)]]-J38</f>
        <v>2.5481256198673918E-3</v>
      </c>
      <c r="L39" s="8">
        <f>LN(Table4[[#This Row],[EGY]])</f>
        <v>8.7585396597996965</v>
      </c>
      <c r="M39" s="8">
        <f>Table4[[#This Row],[LOG(Egypt)]]-L38</f>
        <v>0.1077425783869348</v>
      </c>
      <c r="N39" s="8">
        <f>LN(Table4[[#This Row],[SAU]])</f>
        <v>10.446704468109269</v>
      </c>
      <c r="O39" s="8">
        <f>Table4[[#This Row],[LOG(Saudi Arabia)]]-N38</f>
        <v>7.2726842160555805E-2</v>
      </c>
      <c r="P39" s="9">
        <f>$AC$17+$AC$18*Table4[[#This Row],[DecDate]]+$AC$19*Table4[[#This Row],[DecDate^2]]</f>
        <v>10.363687443626077</v>
      </c>
      <c r="Q39" s="9">
        <f>$AC$37+$AC$38*Table4[[#This Row],[DecDate]]+$AC$39*Table4[[#This Row],[DecDate^2]]</f>
        <v>11.021327875002044</v>
      </c>
      <c r="R39" s="9">
        <f>$W$57+$W$58*Table4[[#This Row],[DecDate]]+$W$59*Table4[[#This Row],[DecDate^2]]</f>
        <v>8.7672709689493331</v>
      </c>
      <c r="S39" s="9">
        <f>$W$77+$W$78*Table4[[#This Row],[DecDate]]+$W$79*Table4[[#This Row],[DecDate^2]]</f>
        <v>10.268567316124063</v>
      </c>
      <c r="T39" s="9">
        <f>Table4[[#This Row],[LOG(Bahamas)]]-Table4[[#This Row],[Trend(Bahamas)]]</f>
        <v>0.1253693170712129</v>
      </c>
      <c r="U39" s="9">
        <f>Table4[[#This Row],[LOG(Cayman Islands)]]-Table4[[#This Row],[Trend(Cayman Island)]]</f>
        <v>4.8727922500580334E-2</v>
      </c>
      <c r="V39" s="9">
        <f>Table4[[#This Row],[LOG(Egypt)]]-Table4[[#This Row],[Trend(Egypt)]]</f>
        <v>-8.7313091496366013E-3</v>
      </c>
      <c r="W39" s="9">
        <f>Table4[[#This Row],[LOG(Saudi Arabia)]]-Table4[[#This Row],[Trend(Saudi Arabia)]]</f>
        <v>0.17813715198520619</v>
      </c>
      <c r="X39" s="9"/>
      <c r="Y39" s="9"/>
      <c r="AB39" s="2" t="s">
        <v>204</v>
      </c>
      <c r="AC39" s="2">
        <v>-9.4168628927078859E-4</v>
      </c>
      <c r="AD39" s="2">
        <v>4.7870666599488628E-5</v>
      </c>
      <c r="AE39" s="2">
        <v>-19.671468065181447</v>
      </c>
      <c r="AF39" s="2">
        <v>9.8944763489842202E-24</v>
      </c>
      <c r="AG39" s="2">
        <v>-1.0381027610968038E-3</v>
      </c>
      <c r="AH39" s="2">
        <v>-8.4526981744477338E-4</v>
      </c>
      <c r="AI39" s="2">
        <v>-1.0381027610968038E-3</v>
      </c>
      <c r="AJ39" s="2">
        <v>-8.4526981744477338E-4</v>
      </c>
    </row>
    <row r="40" spans="1:36" x14ac:dyDescent="0.35">
      <c r="A40">
        <v>2008</v>
      </c>
      <c r="B40">
        <f>Table4[[#This Row],[Year]]+0.5</f>
        <v>2008.5</v>
      </c>
      <c r="C40">
        <f>Table4[[#This Row],[DecDate]]*Table4[[#This Row],[DecDate]]</f>
        <v>4034072.25</v>
      </c>
      <c r="D40" s="8">
        <v>34126.730000000003</v>
      </c>
      <c r="E40" s="8">
        <v>62243.13</v>
      </c>
      <c r="F40" s="8">
        <v>7050.48</v>
      </c>
      <c r="G40" s="8">
        <v>42376.24</v>
      </c>
      <c r="H40" s="8">
        <f>LN(Table4[[#This Row],[BHS]])</f>
        <v>10.43783622717296</v>
      </c>
      <c r="I40" s="8">
        <f>Table4[[#This Row],[LOG(Bahamas)]]-H39</f>
        <v>-5.1220533524329426E-2</v>
      </c>
      <c r="J40" s="8">
        <f>LN(Table4[[#This Row],[CYM]])</f>
        <v>11.038803446790899</v>
      </c>
      <c r="K40" s="8">
        <f>Table4[[#This Row],[LOG(Cayman Islands)]]-J39</f>
        <v>-3.125235071172483E-2</v>
      </c>
      <c r="L40" s="8">
        <f>LN(Table4[[#This Row],[EGY]])</f>
        <v>8.8608509785950123</v>
      </c>
      <c r="M40" s="8">
        <f>Table4[[#This Row],[LOG(Egypt)]]-L39</f>
        <v>0.10231131879531574</v>
      </c>
      <c r="N40" s="8">
        <f>LN(Table4[[#This Row],[SAU]])</f>
        <v>10.654343106791485</v>
      </c>
      <c r="O40" s="8">
        <f>Table4[[#This Row],[LOG(Saudi Arabia)]]-N39</f>
        <v>0.20763863868221577</v>
      </c>
      <c r="P40" s="9">
        <f>$AC$17+$AC$18*Table4[[#This Row],[DecDate]]+$AC$19*Table4[[#This Row],[DecDate^2]]</f>
        <v>10.366990676148816</v>
      </c>
      <c r="Q40" s="9">
        <f>$AC$37+$AC$38*Table4[[#This Row],[DecDate]]+$AC$39*Table4[[#This Row],[DecDate^2]]</f>
        <v>11.011259222853369</v>
      </c>
      <c r="R40" s="9">
        <f>$W$57+$W$58*Table4[[#This Row],[DecDate]]+$W$59*Table4[[#This Row],[DecDate^2]]</f>
        <v>8.8314875234332249</v>
      </c>
      <c r="S40" s="9">
        <f>$W$77+$W$78*Table4[[#This Row],[DecDate]]+$W$79*Table4[[#This Row],[DecDate^2]]</f>
        <v>10.320696891435546</v>
      </c>
      <c r="T40" s="9">
        <f>Table4[[#This Row],[LOG(Bahamas)]]-Table4[[#This Row],[Trend(Bahamas)]]</f>
        <v>7.0845551024143916E-2</v>
      </c>
      <c r="U40" s="9">
        <f>Table4[[#This Row],[LOG(Cayman Islands)]]-Table4[[#This Row],[Trend(Cayman Island)]]</f>
        <v>2.7544223937530532E-2</v>
      </c>
      <c r="V40" s="9">
        <f>Table4[[#This Row],[LOG(Egypt)]]-Table4[[#This Row],[Trend(Egypt)]]</f>
        <v>2.93634551617874E-2</v>
      </c>
      <c r="W40" s="9">
        <f>Table4[[#This Row],[LOG(Saudi Arabia)]]-Table4[[#This Row],[Trend(Saudi Arabia)]]</f>
        <v>0.33364621535593919</v>
      </c>
      <c r="X40" s="9"/>
      <c r="Y40" s="9"/>
    </row>
    <row r="41" spans="1:36" x14ac:dyDescent="0.35">
      <c r="A41">
        <v>2009</v>
      </c>
      <c r="B41">
        <f>Table4[[#This Row],[Year]]+0.5</f>
        <v>2009.5</v>
      </c>
      <c r="C41">
        <f>Table4[[#This Row],[DecDate]]*Table4[[#This Row],[DecDate]]</f>
        <v>4038090.25</v>
      </c>
      <c r="D41" s="8">
        <v>31387.040000000001</v>
      </c>
      <c r="E41" s="8">
        <v>56323.38</v>
      </c>
      <c r="F41" s="8">
        <v>7616.14</v>
      </c>
      <c r="G41" s="8">
        <v>34827.33</v>
      </c>
      <c r="H41" s="8">
        <f>LN(Table4[[#This Row],[BHS]])</f>
        <v>10.354150347842717</v>
      </c>
      <c r="I41" s="8">
        <f>Table4[[#This Row],[LOG(Bahamas)]]-H40</f>
        <v>-8.3685879330243296E-2</v>
      </c>
      <c r="J41" s="8">
        <f>LN(Table4[[#This Row],[CYM]])</f>
        <v>10.938865003235689</v>
      </c>
      <c r="K41" s="8">
        <f>Table4[[#This Row],[LOG(Cayman Islands)]]-J40</f>
        <v>-9.9938443555210199E-2</v>
      </c>
      <c r="L41" s="8">
        <f>LN(Table4[[#This Row],[EGY]])</f>
        <v>8.9380249586551894</v>
      </c>
      <c r="M41" s="8">
        <f>Table4[[#This Row],[LOG(Egypt)]]-L40</f>
        <v>7.7173980060177172E-2</v>
      </c>
      <c r="N41" s="8">
        <f>LN(Table4[[#This Row],[SAU]])</f>
        <v>10.458157702368267</v>
      </c>
      <c r="O41" s="8">
        <f>Table4[[#This Row],[LOG(Saudi Arabia)]]-N40</f>
        <v>-0.1961854044232183</v>
      </c>
      <c r="P41" s="9">
        <f>$AC$17+$AC$18*Table4[[#This Row],[DecDate]]+$AC$19*Table4[[#This Row],[DecDate^2]]</f>
        <v>10.369190459661695</v>
      </c>
      <c r="Q41" s="9">
        <f>$AC$37+$AC$38*Table4[[#This Row],[DecDate]]+$AC$39*Table4[[#This Row],[DecDate^2]]</f>
        <v>10.999307198125734</v>
      </c>
      <c r="R41" s="9">
        <f>$W$57+$W$58*Table4[[#This Row],[DecDate]]+$W$59*Table4[[#This Row],[DecDate^2]]</f>
        <v>8.8963501316861766</v>
      </c>
      <c r="S41" s="9">
        <f>$W$77+$W$78*Table4[[#This Row],[DecDate]]+$W$79*Table4[[#This Row],[DecDate^2]]</f>
        <v>10.375933861396334</v>
      </c>
      <c r="T41" s="9">
        <f>Table4[[#This Row],[LOG(Bahamas)]]-Table4[[#This Row],[Trend(Bahamas)]]</f>
        <v>-1.5040111818978019E-2</v>
      </c>
      <c r="U41" s="9">
        <f>Table4[[#This Row],[LOG(Cayman Islands)]]-Table4[[#This Row],[Trend(Cayman Island)]]</f>
        <v>-6.0442194890045542E-2</v>
      </c>
      <c r="V41" s="9">
        <f>Table4[[#This Row],[LOG(Egypt)]]-Table4[[#This Row],[Trend(Egypt)]]</f>
        <v>4.1674826969012813E-2</v>
      </c>
      <c r="W41" s="9">
        <f>Table4[[#This Row],[LOG(Saudi Arabia)]]-Table4[[#This Row],[Trend(Saudi Arabia)]]</f>
        <v>8.2223840971932916E-2</v>
      </c>
      <c r="X41" s="9"/>
      <c r="Y41" s="9"/>
      <c r="AA41" t="s">
        <v>207</v>
      </c>
      <c r="AB41" t="s">
        <v>7</v>
      </c>
    </row>
    <row r="42" spans="1:36" ht="15" thickBot="1" x14ac:dyDescent="0.4">
      <c r="A42">
        <v>2010</v>
      </c>
      <c r="B42">
        <f>Table4[[#This Row],[Year]]+0.5</f>
        <v>2010.5</v>
      </c>
      <c r="C42">
        <f>Table4[[#This Row],[DecDate]]*Table4[[#This Row],[DecDate]]</f>
        <v>4042110.25</v>
      </c>
      <c r="D42" s="8">
        <v>31412.83</v>
      </c>
      <c r="E42" s="8">
        <v>53581.74</v>
      </c>
      <c r="F42" s="8">
        <v>8563.64</v>
      </c>
      <c r="G42" s="8">
        <v>41481.99</v>
      </c>
      <c r="H42" s="8">
        <f>LN(Table4[[#This Row],[BHS]])</f>
        <v>10.354971687168732</v>
      </c>
      <c r="I42" s="8">
        <f>Table4[[#This Row],[LOG(Bahamas)]]-H41</f>
        <v>8.2133932601458071E-4</v>
      </c>
      <c r="J42" s="8">
        <f>LN(Table4[[#This Row],[CYM]])</f>
        <v>10.888963617375335</v>
      </c>
      <c r="K42" s="8">
        <f>Table4[[#This Row],[LOG(Cayman Islands)]]-J41</f>
        <v>-4.9901385860353642E-2</v>
      </c>
      <c r="L42" s="8">
        <f>LN(Table4[[#This Row],[EGY]])</f>
        <v>9.0552806123944443</v>
      </c>
      <c r="M42" s="8">
        <f>Table4[[#This Row],[LOG(Egypt)]]-L41</f>
        <v>0.11725565373925484</v>
      </c>
      <c r="N42" s="8">
        <f>LN(Table4[[#This Row],[SAU]])</f>
        <v>10.633014636120379</v>
      </c>
      <c r="O42" s="8">
        <f>Table4[[#This Row],[LOG(Saudi Arabia)]]-N41</f>
        <v>0.1748569337521122</v>
      </c>
      <c r="P42" s="9">
        <f>$AC$17+$AC$18*Table4[[#This Row],[DecDate]]+$AC$19*Table4[[#This Row],[DecDate^2]]</f>
        <v>10.370286794163803</v>
      </c>
      <c r="Q42" s="9">
        <f>$AC$37+$AC$38*Table4[[#This Row],[DecDate]]+$AC$39*Table4[[#This Row],[DecDate^2]]</f>
        <v>10.985471800820051</v>
      </c>
      <c r="R42" s="9">
        <f>$W$57+$W$58*Table4[[#This Row],[DecDate]]+$W$59*Table4[[#This Row],[DecDate^2]]</f>
        <v>8.9618587937084158</v>
      </c>
      <c r="S42" s="9">
        <f>$W$77+$W$78*Table4[[#This Row],[DecDate]]+$W$79*Table4[[#This Row],[DecDate^2]]</f>
        <v>10.434278226011884</v>
      </c>
      <c r="T42" s="9">
        <f>Table4[[#This Row],[LOG(Bahamas)]]-Table4[[#This Row],[Trend(Bahamas)]]</f>
        <v>-1.5315106995071659E-2</v>
      </c>
      <c r="U42" s="9">
        <f>Table4[[#This Row],[LOG(Cayman Islands)]]-Table4[[#This Row],[Trend(Cayman Island)]]</f>
        <v>-9.6508183444715456E-2</v>
      </c>
      <c r="V42" s="9">
        <f>Table4[[#This Row],[LOG(Egypt)]]-Table4[[#This Row],[Trend(Egypt)]]</f>
        <v>9.3421818686028502E-2</v>
      </c>
      <c r="W42" s="9">
        <f>Table4[[#This Row],[LOG(Saudi Arabia)]]-Table4[[#This Row],[Trend(Saudi Arabia)]]</f>
        <v>0.19873641010849497</v>
      </c>
      <c r="X42" s="9"/>
      <c r="Y42" s="9"/>
    </row>
    <row r="43" spans="1:36" x14ac:dyDescent="0.35">
      <c r="A43">
        <v>2011</v>
      </c>
      <c r="B43">
        <f>Table4[[#This Row],[Year]]+0.5</f>
        <v>2011.5</v>
      </c>
      <c r="C43">
        <f>Table4[[#This Row],[DecDate]]*Table4[[#This Row],[DecDate]]</f>
        <v>4046132.25</v>
      </c>
      <c r="D43" s="8">
        <v>30619.43</v>
      </c>
      <c r="E43" s="8">
        <v>53180.67</v>
      </c>
      <c r="F43" s="8">
        <v>9641.7900000000009</v>
      </c>
      <c r="G43" s="8">
        <v>52252.67</v>
      </c>
      <c r="H43" s="8">
        <f>LN(Table4[[#This Row],[BHS]])</f>
        <v>10.329390053754279</v>
      </c>
      <c r="I43" s="8">
        <f>Table4[[#This Row],[LOG(Bahamas)]]-H42</f>
        <v>-2.5581633414452298E-2</v>
      </c>
      <c r="J43" s="8">
        <f>LN(Table4[[#This Row],[CYM]])</f>
        <v>10.881450263438971</v>
      </c>
      <c r="K43" s="8">
        <f>Table4[[#This Row],[LOG(Cayman Islands)]]-J42</f>
        <v>-7.5133539363640978E-3</v>
      </c>
      <c r="L43" s="8">
        <f>LN(Table4[[#This Row],[EGY]])</f>
        <v>9.1738620550146344</v>
      </c>
      <c r="M43" s="8">
        <f>Table4[[#This Row],[LOG(Egypt)]]-L42</f>
        <v>0.1185814426201901</v>
      </c>
      <c r="N43" s="8">
        <f>LN(Table4[[#This Row],[SAU]])</f>
        <v>10.863846268999941</v>
      </c>
      <c r="O43" s="8">
        <f>Table4[[#This Row],[LOG(Saudi Arabia)]]-N42</f>
        <v>0.23083163287956232</v>
      </c>
      <c r="P43" s="9">
        <f>$AC$17+$AC$18*Table4[[#This Row],[DecDate]]+$AC$19*Table4[[#This Row],[DecDate^2]]</f>
        <v>10.370279679655141</v>
      </c>
      <c r="Q43" s="9">
        <f>$AC$37+$AC$38*Table4[[#This Row],[DecDate]]+$AC$39*Table4[[#This Row],[DecDate^2]]</f>
        <v>10.969753030935408</v>
      </c>
      <c r="R43" s="9">
        <f>$W$57+$W$58*Table4[[#This Row],[DecDate]]+$W$59*Table4[[#This Row],[DecDate^2]]</f>
        <v>9.0280135094994876</v>
      </c>
      <c r="S43" s="9">
        <f>$W$77+$W$78*Table4[[#This Row],[DecDate]]+$W$79*Table4[[#This Row],[DecDate^2]]</f>
        <v>10.495729985277649</v>
      </c>
      <c r="T43" s="9">
        <f>Table4[[#This Row],[LOG(Bahamas)]]-Table4[[#This Row],[Trend(Bahamas)]]</f>
        <v>-4.0889625900861759E-2</v>
      </c>
      <c r="U43" s="9">
        <f>Table4[[#This Row],[LOG(Cayman Islands)]]-Table4[[#This Row],[Trend(Cayman Island)]]</f>
        <v>-8.8302767496436729E-2</v>
      </c>
      <c r="V43" s="9">
        <f>Table4[[#This Row],[LOG(Egypt)]]-Table4[[#This Row],[Trend(Egypt)]]</f>
        <v>0.14584854551514681</v>
      </c>
      <c r="W43" s="9">
        <f>Table4[[#This Row],[LOG(Saudi Arabia)]]-Table4[[#This Row],[Trend(Saudi Arabia)]]</f>
        <v>0.36811628372229244</v>
      </c>
      <c r="X43" s="9"/>
      <c r="Y43" s="9"/>
      <c r="AB43" s="4" t="s">
        <v>8</v>
      </c>
      <c r="AC43" s="4"/>
    </row>
    <row r="44" spans="1:36" x14ac:dyDescent="0.35">
      <c r="A44">
        <v>2012</v>
      </c>
      <c r="B44">
        <f>Table4[[#This Row],[Year]]+0.5</f>
        <v>2012.5</v>
      </c>
      <c r="C44">
        <f>Table4[[#This Row],[DecDate]]*Table4[[#This Row],[DecDate]]</f>
        <v>4050156.25</v>
      </c>
      <c r="D44" s="8">
        <v>31180.880000000001</v>
      </c>
      <c r="E44" s="8">
        <v>52951.839999999997</v>
      </c>
      <c r="F44" s="8">
        <v>9632.15</v>
      </c>
      <c r="G44" s="8">
        <v>53258.21</v>
      </c>
      <c r="H44" s="8">
        <f>LN(Table4[[#This Row],[BHS]])</f>
        <v>10.347560365433512</v>
      </c>
      <c r="I44" s="8">
        <f>Table4[[#This Row],[LOG(Bahamas)]]-H43</f>
        <v>1.8170311679233109E-2</v>
      </c>
      <c r="J44" s="8">
        <f>LN(Table4[[#This Row],[CYM]])</f>
        <v>10.877138100189722</v>
      </c>
      <c r="K44" s="8">
        <f>Table4[[#This Row],[LOG(Cayman Islands)]]-J43</f>
        <v>-4.3121632492493234E-3</v>
      </c>
      <c r="L44" s="8">
        <f>LN(Table4[[#This Row],[EGY]])</f>
        <v>9.1728617405170443</v>
      </c>
      <c r="M44" s="8">
        <f>Table4[[#This Row],[LOG(Egypt)]]-L43</f>
        <v>-1.0003144975900824E-3</v>
      </c>
      <c r="N44" s="8">
        <f>LN(Table4[[#This Row],[SAU]])</f>
        <v>10.88290725009116</v>
      </c>
      <c r="O44" s="8">
        <f>Table4[[#This Row],[LOG(Saudi Arabia)]]-N43</f>
        <v>1.9060981091218565E-2</v>
      </c>
      <c r="P44" s="9">
        <f>$AC$17+$AC$18*Table4[[#This Row],[DecDate]]+$AC$19*Table4[[#This Row],[DecDate^2]]</f>
        <v>10.369169116136618</v>
      </c>
      <c r="Q44" s="9">
        <f>$AC$37+$AC$38*Table4[[#This Row],[DecDate]]+$AC$39*Table4[[#This Row],[DecDate^2]]</f>
        <v>10.952150888472715</v>
      </c>
      <c r="R44" s="9">
        <f>$W$57+$W$58*Table4[[#This Row],[DecDate]]+$W$59*Table4[[#This Row],[DecDate^2]]</f>
        <v>9.0948142790598467</v>
      </c>
      <c r="S44" s="9">
        <f>$W$77+$W$78*Table4[[#This Row],[DecDate]]+$W$79*Table4[[#This Row],[DecDate^2]]</f>
        <v>10.560289139198176</v>
      </c>
      <c r="T44" s="9">
        <f>Table4[[#This Row],[LOG(Bahamas)]]-Table4[[#This Row],[Trend(Bahamas)]]</f>
        <v>-2.1608750703105528E-2</v>
      </c>
      <c r="U44" s="9">
        <f>Table4[[#This Row],[LOG(Cayman Islands)]]-Table4[[#This Row],[Trend(Cayman Island)]]</f>
        <v>-7.5012788282993625E-2</v>
      </c>
      <c r="V44" s="9">
        <f>Table4[[#This Row],[LOG(Egypt)]]-Table4[[#This Row],[Trend(Egypt)]]</f>
        <v>7.8047461457197542E-2</v>
      </c>
      <c r="W44" s="9">
        <f>Table4[[#This Row],[LOG(Saudi Arabia)]]-Table4[[#This Row],[Trend(Saudi Arabia)]]</f>
        <v>0.32261811089298398</v>
      </c>
      <c r="X44" s="9"/>
      <c r="Y44" s="9"/>
      <c r="AB44" s="1" t="s">
        <v>9</v>
      </c>
      <c r="AC44" s="1">
        <v>0.98918642423218062</v>
      </c>
    </row>
    <row r="45" spans="1:36" x14ac:dyDescent="0.35">
      <c r="A45">
        <v>2013</v>
      </c>
      <c r="B45">
        <f>Table4[[#This Row],[Year]]+0.5</f>
        <v>2013.5</v>
      </c>
      <c r="C45">
        <f>Table4[[#This Row],[DecDate]]*Table4[[#This Row],[DecDate]]</f>
        <v>4054182.25</v>
      </c>
      <c r="D45" s="8">
        <v>30117.040000000001</v>
      </c>
      <c r="E45" s="8">
        <v>52851.06</v>
      </c>
      <c r="F45" s="8">
        <v>9745.51</v>
      </c>
      <c r="G45" s="8">
        <v>51132.88</v>
      </c>
      <c r="H45" s="8">
        <f>LN(Table4[[#This Row],[BHS]])</f>
        <v>10.312846403512289</v>
      </c>
      <c r="I45" s="8">
        <f>Table4[[#This Row],[LOG(Bahamas)]]-H44</f>
        <v>-3.4713961921223557E-2</v>
      </c>
      <c r="J45" s="8">
        <f>LN(Table4[[#This Row],[CYM]])</f>
        <v>10.875233047861677</v>
      </c>
      <c r="K45" s="8">
        <f>Table4[[#This Row],[LOG(Cayman Islands)]]-J44</f>
        <v>-1.9050523280448317E-3</v>
      </c>
      <c r="L45" s="8">
        <f>LN(Table4[[#This Row],[EGY]])</f>
        <v>9.1845619451027858</v>
      </c>
      <c r="M45" s="8">
        <f>Table4[[#This Row],[LOG(Egypt)]]-L44</f>
        <v>1.1700204585741503E-2</v>
      </c>
      <c r="N45" s="8">
        <f>LN(Table4[[#This Row],[SAU]])</f>
        <v>10.842183013497323</v>
      </c>
      <c r="O45" s="8">
        <f>Table4[[#This Row],[LOG(Saudi Arabia)]]-N44</f>
        <v>-4.0724236593836949E-2</v>
      </c>
      <c r="P45" s="9">
        <f>$AC$17+$AC$18*Table4[[#This Row],[DecDate]]+$AC$19*Table4[[#This Row],[DecDate^2]]</f>
        <v>10.366955103607779</v>
      </c>
      <c r="Q45" s="9">
        <f>$AC$37+$AC$38*Table4[[#This Row],[DecDate]]+$AC$39*Table4[[#This Row],[DecDate^2]]</f>
        <v>10.932665373430609</v>
      </c>
      <c r="R45" s="9">
        <f>$W$57+$W$58*Table4[[#This Row],[DecDate]]+$W$59*Table4[[#This Row],[DecDate^2]]</f>
        <v>9.1622611023892659</v>
      </c>
      <c r="S45" s="9">
        <f>$W$77+$W$78*Table4[[#This Row],[DecDate]]+$W$79*Table4[[#This Row],[DecDate^2]]</f>
        <v>10.627955687768917</v>
      </c>
      <c r="T45" s="9">
        <f>Table4[[#This Row],[LOG(Bahamas)]]-Table4[[#This Row],[Trend(Bahamas)]]</f>
        <v>-5.4108700095490292E-2</v>
      </c>
      <c r="U45" s="9">
        <f>Table4[[#This Row],[LOG(Cayman Islands)]]-Table4[[#This Row],[Trend(Cayman Island)]]</f>
        <v>-5.7432325568932185E-2</v>
      </c>
      <c r="V45" s="9">
        <f>Table4[[#This Row],[LOG(Egypt)]]-Table4[[#This Row],[Trend(Egypt)]]</f>
        <v>2.2300842713519842E-2</v>
      </c>
      <c r="W45" s="9">
        <f>Table4[[#This Row],[LOG(Saudi Arabia)]]-Table4[[#This Row],[Trend(Saudi Arabia)]]</f>
        <v>0.2142273257284053</v>
      </c>
      <c r="X45" s="9"/>
      <c r="Y45" s="9"/>
      <c r="AB45" s="1" t="s">
        <v>10</v>
      </c>
      <c r="AC45" s="1">
        <v>0.9784897818852476</v>
      </c>
    </row>
    <row r="46" spans="1:36" x14ac:dyDescent="0.35">
      <c r="A46">
        <v>2014</v>
      </c>
      <c r="B46">
        <f>Table4[[#This Row],[Year]]+0.5</f>
        <v>2014.5</v>
      </c>
      <c r="C46">
        <f>Table4[[#This Row],[DecDate]]*Table4[[#This Row],[DecDate]]</f>
        <v>4058210.25</v>
      </c>
      <c r="D46" s="8">
        <v>29956.63</v>
      </c>
      <c r="E46" s="8">
        <v>53519.27</v>
      </c>
      <c r="F46" s="8">
        <v>9800.33</v>
      </c>
      <c r="G46" s="8">
        <v>48634.65</v>
      </c>
      <c r="H46" s="8">
        <f>LN(Table4[[#This Row],[BHS]])</f>
        <v>10.307505947993352</v>
      </c>
      <c r="I46" s="8">
        <f>Table4[[#This Row],[LOG(Bahamas)]]-H45</f>
        <v>-5.3404555189366931E-3</v>
      </c>
      <c r="J46" s="8">
        <f>LN(Table4[[#This Row],[CYM]])</f>
        <v>10.887797054948251</v>
      </c>
      <c r="K46" s="8">
        <f>Table4[[#This Row],[LOG(Cayman Islands)]]-J45</f>
        <v>1.2564007086574236E-2</v>
      </c>
      <c r="L46" s="8">
        <f>LN(Table4[[#This Row],[EGY]])</f>
        <v>9.1901713375611127</v>
      </c>
      <c r="M46" s="8">
        <f>Table4[[#This Row],[LOG(Egypt)]]-L45</f>
        <v>5.6093924583269228E-3</v>
      </c>
      <c r="N46" s="8">
        <f>LN(Table4[[#This Row],[SAU]])</f>
        <v>10.792091518814194</v>
      </c>
      <c r="O46" s="8">
        <f>Table4[[#This Row],[LOG(Saudi Arabia)]]-N45</f>
        <v>-5.0091494683128346E-2</v>
      </c>
      <c r="P46" s="9">
        <f>$AC$17+$AC$18*Table4[[#This Row],[DecDate]]+$AC$19*Table4[[#This Row],[DecDate^2]]</f>
        <v>10.363637642067715</v>
      </c>
      <c r="Q46" s="9">
        <f>$AC$37+$AC$38*Table4[[#This Row],[DecDate]]+$AC$39*Table4[[#This Row],[DecDate^2]]</f>
        <v>10.911296485810908</v>
      </c>
      <c r="R46" s="9">
        <f>$W$57+$W$58*Table4[[#This Row],[DecDate]]+$W$59*Table4[[#This Row],[DecDate^2]]</f>
        <v>9.2303539794872904</v>
      </c>
      <c r="S46" s="9">
        <f>$W$77+$W$78*Table4[[#This Row],[DecDate]]+$W$79*Table4[[#This Row],[DecDate^2]]</f>
        <v>10.698729630994421</v>
      </c>
      <c r="T46" s="9">
        <f>Table4[[#This Row],[LOG(Bahamas)]]-Table4[[#This Row],[Trend(Bahamas)]]</f>
        <v>-5.6131694074363025E-2</v>
      </c>
      <c r="U46" s="9">
        <f>Table4[[#This Row],[LOG(Cayman Islands)]]-Table4[[#This Row],[Trend(Cayman Island)]]</f>
        <v>-2.3499430862656823E-2</v>
      </c>
      <c r="V46" s="9">
        <f>Table4[[#This Row],[LOG(Egypt)]]-Table4[[#This Row],[Trend(Egypt)]]</f>
        <v>-4.0182641926177709E-2</v>
      </c>
      <c r="W46" s="9">
        <f>Table4[[#This Row],[LOG(Saudi Arabia)]]-Table4[[#This Row],[Trend(Saudi Arabia)]]</f>
        <v>9.336188781977306E-2</v>
      </c>
      <c r="X46" s="9"/>
      <c r="Y46" s="9"/>
      <c r="AB46" s="1" t="s">
        <v>11</v>
      </c>
      <c r="AC46" s="1">
        <v>0.97753377219125859</v>
      </c>
    </row>
    <row r="47" spans="1:36" x14ac:dyDescent="0.35">
      <c r="A47">
        <v>2015</v>
      </c>
      <c r="B47">
        <f>Table4[[#This Row],[Year]]+0.5</f>
        <v>2015.5</v>
      </c>
      <c r="C47">
        <f>Table4[[#This Row],[DecDate]]*Table4[[#This Row],[DecDate]]</f>
        <v>4062240.25</v>
      </c>
      <c r="D47" s="8">
        <v>29235.48</v>
      </c>
      <c r="E47" s="8">
        <v>54311.26</v>
      </c>
      <c r="F47" s="8">
        <v>10002.030000000001</v>
      </c>
      <c r="G47" s="8">
        <v>41110.800000000003</v>
      </c>
      <c r="H47" s="8">
        <f>LN(Table4[[#This Row],[BHS]])</f>
        <v>10.283138319151231</v>
      </c>
      <c r="I47" s="8">
        <f>Table4[[#This Row],[LOG(Bahamas)]]-H46</f>
        <v>-2.4367628842121292E-2</v>
      </c>
      <c r="J47" s="8">
        <f>LN(Table4[[#This Row],[CYM]])</f>
        <v>10.902486850907074</v>
      </c>
      <c r="K47" s="8">
        <f>Table4[[#This Row],[LOG(Cayman Islands)]]-J46</f>
        <v>1.4689795958823026E-2</v>
      </c>
      <c r="L47" s="8">
        <f>LN(Table4[[#This Row],[EGY]])</f>
        <v>9.2105433513744703</v>
      </c>
      <c r="M47" s="8">
        <f>Table4[[#This Row],[LOG(Egypt)]]-L46</f>
        <v>2.0372013813357626E-2</v>
      </c>
      <c r="N47" s="8">
        <f>LN(Table4[[#This Row],[SAU]])</f>
        <v>10.624026139687986</v>
      </c>
      <c r="O47" s="8">
        <f>Table4[[#This Row],[LOG(Saudi Arabia)]]-N46</f>
        <v>-0.16806537912620811</v>
      </c>
      <c r="P47" s="9">
        <f>$AC$17+$AC$18*Table4[[#This Row],[DecDate]]+$AC$19*Table4[[#This Row],[DecDate^2]]</f>
        <v>10.35921673151779</v>
      </c>
      <c r="Q47" s="9">
        <f>$AC$37+$AC$38*Table4[[#This Row],[DecDate]]+$AC$39*Table4[[#This Row],[DecDate^2]]</f>
        <v>10.888044225611793</v>
      </c>
      <c r="R47" s="9">
        <f>$W$57+$W$58*Table4[[#This Row],[DecDate]]+$W$59*Table4[[#This Row],[DecDate^2]]</f>
        <v>9.2990929103548297</v>
      </c>
      <c r="S47" s="9">
        <f>$W$77+$W$78*Table4[[#This Row],[DecDate]]+$W$79*Table4[[#This Row],[DecDate^2]]</f>
        <v>10.77261096886923</v>
      </c>
      <c r="T47" s="9">
        <f>Table4[[#This Row],[LOG(Bahamas)]]-Table4[[#This Row],[Trend(Bahamas)]]</f>
        <v>-7.6078412366559434E-2</v>
      </c>
      <c r="U47" s="9">
        <f>Table4[[#This Row],[LOG(Cayman Islands)]]-Table4[[#This Row],[Trend(Cayman Island)]]</f>
        <v>1.4442625295281175E-2</v>
      </c>
      <c r="V47" s="9">
        <f>Table4[[#This Row],[LOG(Egypt)]]-Table4[[#This Row],[Trend(Egypt)]]</f>
        <v>-8.8549558980359322E-2</v>
      </c>
      <c r="W47" s="9">
        <f>Table4[[#This Row],[LOG(Saudi Arabia)]]-Table4[[#This Row],[Trend(Saudi Arabia)]]</f>
        <v>-0.14858482918124416</v>
      </c>
      <c r="X47" s="9"/>
      <c r="Y47" s="9"/>
      <c r="AB47" s="1" t="s">
        <v>12</v>
      </c>
      <c r="AC47" s="1">
        <v>0.11734660637390884</v>
      </c>
    </row>
    <row r="48" spans="1:36" ht="15" thickBot="1" x14ac:dyDescent="0.4">
      <c r="A48">
        <v>2016</v>
      </c>
      <c r="B48">
        <f>Table4[[#This Row],[Year]]+0.5</f>
        <v>2016.5</v>
      </c>
      <c r="C48">
        <f>Table4[[#This Row],[DecDate]]*Table4[[#This Row],[DecDate]]</f>
        <v>4066272.25</v>
      </c>
      <c r="D48" s="8">
        <v>28911.93</v>
      </c>
      <c r="E48" s="8">
        <v>55490.73</v>
      </c>
      <c r="F48" s="8">
        <v>10199.790000000001</v>
      </c>
      <c r="G48" s="8">
        <v>38670.449999999997</v>
      </c>
      <c r="H48" s="8">
        <f>LN(Table4[[#This Row],[BHS]])</f>
        <v>10.272009591689068</v>
      </c>
      <c r="I48" s="8">
        <f>Table4[[#This Row],[LOG(Bahamas)]]-H47</f>
        <v>-1.1128727462162757E-2</v>
      </c>
      <c r="J48" s="8">
        <f>LN(Table4[[#This Row],[CYM]])</f>
        <v>10.923971258756932</v>
      </c>
      <c r="K48" s="8">
        <f>Table4[[#This Row],[LOG(Cayman Islands)]]-J47</f>
        <v>2.1484407849857945E-2</v>
      </c>
      <c r="L48" s="8">
        <f>LN(Table4[[#This Row],[EGY]])</f>
        <v>9.2301224108251283</v>
      </c>
      <c r="M48" s="8">
        <f>Table4[[#This Row],[LOG(Egypt)]]-L47</f>
        <v>1.9579059450657965E-2</v>
      </c>
      <c r="N48" s="8">
        <f>LN(Table4[[#This Row],[SAU]])</f>
        <v>10.562831021461486</v>
      </c>
      <c r="O48" s="8">
        <f>Table4[[#This Row],[LOG(Saudi Arabia)]]-N47</f>
        <v>-6.1195118226500256E-2</v>
      </c>
      <c r="P48" s="9">
        <f>$AC$17+$AC$18*Table4[[#This Row],[DecDate]]+$AC$19*Table4[[#This Row],[DecDate^2]]</f>
        <v>10.353692371958005</v>
      </c>
      <c r="Q48" s="9">
        <f>$AC$37+$AC$38*Table4[[#This Row],[DecDate]]+$AC$39*Table4[[#This Row],[DecDate^2]]</f>
        <v>10.862908592835083</v>
      </c>
      <c r="R48" s="9">
        <f>$W$57+$W$58*Table4[[#This Row],[DecDate]]+$W$59*Table4[[#This Row],[DecDate^2]]</f>
        <v>9.3684778949916563</v>
      </c>
      <c r="S48" s="9">
        <f>$W$77+$W$78*Table4[[#This Row],[DecDate]]+$W$79*Table4[[#This Row],[DecDate^2]]</f>
        <v>10.849599701399711</v>
      </c>
      <c r="T48" s="9">
        <f>Table4[[#This Row],[LOG(Bahamas)]]-Table4[[#This Row],[Trend(Bahamas)]]</f>
        <v>-8.1682780268936384E-2</v>
      </c>
      <c r="U48" s="9">
        <f>Table4[[#This Row],[LOG(Cayman Islands)]]-Table4[[#This Row],[Trend(Cayman Island)]]</f>
        <v>6.1062665921848946E-2</v>
      </c>
      <c r="V48" s="9">
        <f>Table4[[#This Row],[LOG(Egypt)]]-Table4[[#This Row],[Trend(Egypt)]]</f>
        <v>-0.13835548416652799</v>
      </c>
      <c r="W48" s="9">
        <f>Table4[[#This Row],[LOG(Saudi Arabia)]]-Table4[[#This Row],[Trend(Saudi Arabia)]]</f>
        <v>-0.28676867993822519</v>
      </c>
      <c r="X48" s="9"/>
      <c r="Y48" s="9"/>
      <c r="AB48" s="2" t="s">
        <v>13</v>
      </c>
      <c r="AC48" s="2">
        <v>48</v>
      </c>
    </row>
    <row r="49" spans="1:32" x14ac:dyDescent="0.35">
      <c r="A49">
        <v>2017</v>
      </c>
      <c r="B49">
        <f>Table4[[#This Row],[Year]]+0.5</f>
        <v>2017.5</v>
      </c>
      <c r="C49">
        <f>Table4[[#This Row],[DecDate]]*Table4[[#This Row],[DecDate]]</f>
        <v>4070306.25</v>
      </c>
      <c r="D49" s="8">
        <v>28449.96</v>
      </c>
      <c r="E49" s="8">
        <v>56038.07</v>
      </c>
      <c r="F49" s="8">
        <v>10209.41</v>
      </c>
      <c r="G49" s="8">
        <v>39890.65</v>
      </c>
      <c r="H49" s="8">
        <f>LN(Table4[[#This Row],[BHS]])</f>
        <v>10.255902033578094</v>
      </c>
      <c r="I49" s="8">
        <f>Table4[[#This Row],[LOG(Bahamas)]]-H48</f>
        <v>-1.6107558110974196E-2</v>
      </c>
      <c r="J49" s="8">
        <f>LN(Table4[[#This Row],[CYM]])</f>
        <v>10.933786560171946</v>
      </c>
      <c r="K49" s="8">
        <f>Table4[[#This Row],[LOG(Cayman Islands)]]-J48</f>
        <v>9.815301415013522E-3</v>
      </c>
      <c r="L49" s="8">
        <f>LN(Table4[[#This Row],[EGY]])</f>
        <v>9.2310651230051679</v>
      </c>
      <c r="M49" s="8">
        <f>Table4[[#This Row],[LOG(Egypt)]]-L48</f>
        <v>9.4271218003960655E-4</v>
      </c>
      <c r="N49" s="8">
        <f>LN(Table4[[#This Row],[SAU]])</f>
        <v>10.593897239577423</v>
      </c>
      <c r="O49" s="8">
        <f>Table4[[#This Row],[LOG(Saudi Arabia)]]-N48</f>
        <v>3.1066218115936906E-2</v>
      </c>
      <c r="P49" s="9">
        <f>$AC$17+$AC$18*Table4[[#This Row],[DecDate]]+$AC$19*Table4[[#This Row],[DecDate^2]]</f>
        <v>10.347064563387448</v>
      </c>
      <c r="Q49" s="9">
        <f>$AC$37+$AC$38*Table4[[#This Row],[DecDate]]+$AC$39*Table4[[#This Row],[DecDate^2]]</f>
        <v>10.83588958747896</v>
      </c>
      <c r="R49" s="9">
        <f>$W$57+$W$58*Table4[[#This Row],[DecDate]]+$W$59*Table4[[#This Row],[DecDate^2]]</f>
        <v>9.4385089333973156</v>
      </c>
      <c r="S49" s="9">
        <f>$W$77+$W$78*Table4[[#This Row],[DecDate]]+$W$79*Table4[[#This Row],[DecDate^2]]</f>
        <v>10.929695828579497</v>
      </c>
      <c r="T49" s="9">
        <f>Table4[[#This Row],[LOG(Bahamas)]]-Table4[[#This Row],[Trend(Bahamas)]]</f>
        <v>-9.1162529809354353E-2</v>
      </c>
      <c r="U49" s="9">
        <f>Table4[[#This Row],[LOG(Cayman Islands)]]-Table4[[#This Row],[Trend(Cayman Island)]]</f>
        <v>9.7896972692986139E-2</v>
      </c>
      <c r="V49" s="9">
        <f>Table4[[#This Row],[LOG(Egypt)]]-Table4[[#This Row],[Trend(Egypt)]]</f>
        <v>-0.20744381039214765</v>
      </c>
      <c r="W49" s="9">
        <f>Table4[[#This Row],[LOG(Saudi Arabia)]]-Table4[[#This Row],[Trend(Saudi Arabia)]]</f>
        <v>-0.33579858900207427</v>
      </c>
      <c r="X49" s="9"/>
      <c r="Y49" s="9"/>
    </row>
    <row r="50" spans="1:32" ht="15" thickBot="1" x14ac:dyDescent="0.4">
      <c r="V50" t="s">
        <v>14</v>
      </c>
    </row>
    <row r="51" spans="1:32" x14ac:dyDescent="0.35">
      <c r="V51" s="3"/>
      <c r="W51" s="3" t="s">
        <v>19</v>
      </c>
      <c r="X51" s="3"/>
      <c r="Y51" s="3"/>
      <c r="Z51" s="3" t="s">
        <v>20</v>
      </c>
      <c r="AA51" s="3" t="s">
        <v>21</v>
      </c>
      <c r="AB51" s="3" t="s">
        <v>22</v>
      </c>
      <c r="AC51" s="3" t="s">
        <v>23</v>
      </c>
    </row>
    <row r="52" spans="1:32" x14ac:dyDescent="0.35">
      <c r="V52" s="1" t="s">
        <v>15</v>
      </c>
      <c r="W52" s="1">
        <v>2</v>
      </c>
      <c r="X52" s="1"/>
      <c r="Y52" s="1"/>
      <c r="Z52" s="1">
        <v>28.188051955648493</v>
      </c>
      <c r="AA52" s="1">
        <v>14.094025977824247</v>
      </c>
      <c r="AB52" s="1">
        <v>1023.5144978524772</v>
      </c>
      <c r="AC52" s="1">
        <v>3.0514644801824285E-38</v>
      </c>
    </row>
    <row r="53" spans="1:32" x14ac:dyDescent="0.35">
      <c r="V53" s="1" t="s">
        <v>16</v>
      </c>
      <c r="W53" s="1">
        <v>45</v>
      </c>
      <c r="X53" s="1"/>
      <c r="Y53" s="1"/>
      <c r="Z53" s="1">
        <v>0.61966017123628969</v>
      </c>
      <c r="AA53" s="1">
        <v>1.3770226027473104E-2</v>
      </c>
      <c r="AB53" s="1"/>
      <c r="AC53" s="1"/>
    </row>
    <row r="54" spans="1:32" ht="15" thickBot="1" x14ac:dyDescent="0.4">
      <c r="V54" s="2" t="s">
        <v>17</v>
      </c>
      <c r="W54" s="2">
        <v>47</v>
      </c>
      <c r="X54" s="2"/>
      <c r="Y54" s="2"/>
      <c r="Z54" s="2">
        <v>28.807712126884784</v>
      </c>
      <c r="AA54" s="2"/>
      <c r="AB54" s="2"/>
      <c r="AC54" s="2"/>
    </row>
    <row r="55" spans="1:32" ht="15" thickBot="1" x14ac:dyDescent="0.4"/>
    <row r="56" spans="1:32" x14ac:dyDescent="0.35">
      <c r="V56" s="3"/>
      <c r="W56" s="3" t="s">
        <v>24</v>
      </c>
      <c r="X56" s="3"/>
      <c r="Y56" s="3"/>
      <c r="Z56" s="3" t="s">
        <v>12</v>
      </c>
      <c r="AA56" s="3" t="s">
        <v>25</v>
      </c>
      <c r="AB56" s="3" t="s">
        <v>26</v>
      </c>
      <c r="AC56" s="3" t="s">
        <v>27</v>
      </c>
      <c r="AD56" s="3" t="s">
        <v>28</v>
      </c>
      <c r="AE56" s="3" t="s">
        <v>29</v>
      </c>
      <c r="AF56" s="3" t="s">
        <v>30</v>
      </c>
    </row>
    <row r="57" spans="1:32" x14ac:dyDescent="0.35">
      <c r="V57" s="1" t="s">
        <v>18</v>
      </c>
      <c r="W57" s="1">
        <v>1182.3175293262821</v>
      </c>
      <c r="X57" s="1"/>
      <c r="Y57" s="1"/>
      <c r="Z57" s="1">
        <v>392.56628789526081</v>
      </c>
      <c r="AA57" s="1">
        <v>3.0117653139938798</v>
      </c>
      <c r="AB57" s="1">
        <v>4.2507326608294477E-3</v>
      </c>
      <c r="AC57" s="1">
        <v>391.64843851606349</v>
      </c>
      <c r="AD57" s="1">
        <v>1972.9866201365007</v>
      </c>
      <c r="AE57" s="1">
        <v>391.64843851606349</v>
      </c>
      <c r="AF57" s="1">
        <v>1972.9866201365007</v>
      </c>
    </row>
    <row r="58" spans="1:32" x14ac:dyDescent="0.35">
      <c r="V58" s="1" t="s">
        <v>31</v>
      </c>
      <c r="W58" s="1">
        <v>-1.23305941388303</v>
      </c>
      <c r="X58" s="1"/>
      <c r="Y58" s="1"/>
      <c r="Z58" s="1">
        <v>0.39376084151387281</v>
      </c>
      <c r="AA58" s="1">
        <v>-3.1314932412840939</v>
      </c>
      <c r="AB58" s="1">
        <v>3.0539060070827332E-3</v>
      </c>
      <c r="AC58" s="1">
        <v>-2.0261344591846946</v>
      </c>
      <c r="AD58" s="1">
        <v>-0.43998436858136514</v>
      </c>
      <c r="AE58" s="1">
        <v>-2.0261344591846946</v>
      </c>
      <c r="AF58" s="1">
        <v>-0.43998436858136514</v>
      </c>
    </row>
    <row r="59" spans="1:32" ht="15" thickBot="1" x14ac:dyDescent="0.4">
      <c r="V59" s="2" t="s">
        <v>204</v>
      </c>
      <c r="W59" s="2">
        <v>3.2302688455349726E-4</v>
      </c>
      <c r="X59" s="2"/>
      <c r="Y59" s="2"/>
      <c r="Z59" s="2">
        <v>9.8735943677313751E-5</v>
      </c>
      <c r="AA59" s="2">
        <v>3.2716240157607177</v>
      </c>
      <c r="AB59" s="2">
        <v>2.0570209485402322E-3</v>
      </c>
      <c r="AC59" s="2">
        <v>1.2416248578867131E-4</v>
      </c>
      <c r="AD59" s="2">
        <v>5.2189128331832325E-4</v>
      </c>
      <c r="AE59" s="2">
        <v>1.2416248578867131E-4</v>
      </c>
      <c r="AF59" s="2">
        <v>5.2189128331832325E-4</v>
      </c>
    </row>
    <row r="61" spans="1:32" x14ac:dyDescent="0.35">
      <c r="U61" t="s">
        <v>208</v>
      </c>
      <c r="V61" t="s">
        <v>7</v>
      </c>
    </row>
    <row r="62" spans="1:32" ht="15" thickBot="1" x14ac:dyDescent="0.4"/>
    <row r="63" spans="1:32" x14ac:dyDescent="0.35">
      <c r="V63" s="4" t="s">
        <v>8</v>
      </c>
      <c r="W63" s="4"/>
      <c r="X63" s="10"/>
      <c r="Y63" s="10"/>
    </row>
    <row r="64" spans="1:32" x14ac:dyDescent="0.35">
      <c r="V64" s="1" t="s">
        <v>9</v>
      </c>
      <c r="W64" s="1">
        <v>0.75503687500450778</v>
      </c>
      <c r="X64" s="1"/>
      <c r="Y64" s="1"/>
    </row>
    <row r="65" spans="22:32" x14ac:dyDescent="0.35">
      <c r="V65" s="1" t="s">
        <v>10</v>
      </c>
      <c r="W65" s="1">
        <v>0.57008068261657274</v>
      </c>
      <c r="X65" s="1"/>
      <c r="Y65" s="1"/>
    </row>
    <row r="66" spans="22:32" x14ac:dyDescent="0.35">
      <c r="V66" s="1" t="s">
        <v>11</v>
      </c>
      <c r="W66" s="1">
        <v>0.55097315739953145</v>
      </c>
      <c r="X66" s="1"/>
      <c r="Y66" s="1"/>
    </row>
    <row r="67" spans="22:32" x14ac:dyDescent="0.35">
      <c r="V67" s="1" t="s">
        <v>12</v>
      </c>
      <c r="W67" s="1">
        <v>0.26197335994467819</v>
      </c>
      <c r="X67" s="1"/>
      <c r="Y67" s="1"/>
    </row>
    <row r="68" spans="22:32" ht="15" thickBot="1" x14ac:dyDescent="0.4">
      <c r="V68" s="2" t="s">
        <v>13</v>
      </c>
      <c r="W68" s="2">
        <v>48</v>
      </c>
      <c r="X68" s="1"/>
      <c r="Y68" s="1"/>
    </row>
    <row r="70" spans="22:32" ht="15" thickBot="1" x14ac:dyDescent="0.4">
      <c r="V70" t="s">
        <v>14</v>
      </c>
    </row>
    <row r="71" spans="22:32" x14ac:dyDescent="0.35">
      <c r="V71" s="3"/>
      <c r="W71" s="3" t="s">
        <v>19</v>
      </c>
      <c r="X71" s="3"/>
      <c r="Y71" s="3"/>
      <c r="Z71" s="3" t="s">
        <v>20</v>
      </c>
      <c r="AA71" s="3" t="s">
        <v>21</v>
      </c>
      <c r="AB71" s="3" t="s">
        <v>22</v>
      </c>
      <c r="AC71" s="3" t="s">
        <v>23</v>
      </c>
    </row>
    <row r="72" spans="22:32" x14ac:dyDescent="0.35">
      <c r="V72" s="1" t="s">
        <v>15</v>
      </c>
      <c r="W72" s="1">
        <v>2</v>
      </c>
      <c r="X72" s="1"/>
      <c r="Y72" s="1"/>
      <c r="Z72" s="1">
        <v>4.0952096474761497</v>
      </c>
      <c r="AA72" s="1">
        <v>2.0476048237380748</v>
      </c>
      <c r="AB72" s="1">
        <v>29.835401295618411</v>
      </c>
      <c r="AC72" s="1">
        <v>5.6390583614198426E-9</v>
      </c>
    </row>
    <row r="73" spans="22:32" x14ac:dyDescent="0.35">
      <c r="V73" s="1" t="s">
        <v>16</v>
      </c>
      <c r="W73" s="1">
        <v>45</v>
      </c>
      <c r="X73" s="1"/>
      <c r="Y73" s="1"/>
      <c r="Z73" s="1">
        <v>3.0883518594316768</v>
      </c>
      <c r="AA73" s="1">
        <v>6.8630041320703924E-2</v>
      </c>
      <c r="AB73" s="1"/>
      <c r="AC73" s="1"/>
    </row>
    <row r="74" spans="22:32" ht="15" thickBot="1" x14ac:dyDescent="0.4">
      <c r="V74" s="2" t="s">
        <v>17</v>
      </c>
      <c r="W74" s="2">
        <v>47</v>
      </c>
      <c r="X74" s="2"/>
      <c r="Y74" s="2"/>
      <c r="Z74" s="2">
        <v>7.1835615069078269</v>
      </c>
      <c r="AA74" s="2"/>
      <c r="AB74" s="2"/>
      <c r="AC74" s="2"/>
    </row>
    <row r="75" spans="22:32" ht="15" thickBot="1" x14ac:dyDescent="0.4"/>
    <row r="76" spans="22:32" x14ac:dyDescent="0.35">
      <c r="V76" s="3"/>
      <c r="W76" s="3" t="s">
        <v>24</v>
      </c>
      <c r="X76" s="3"/>
      <c r="Y76" s="3"/>
      <c r="Z76" s="3" t="s">
        <v>12</v>
      </c>
      <c r="AA76" s="3" t="s">
        <v>25</v>
      </c>
      <c r="AB76" s="3" t="s">
        <v>26</v>
      </c>
      <c r="AC76" s="3" t="s">
        <v>27</v>
      </c>
      <c r="AD76" s="3" t="s">
        <v>28</v>
      </c>
      <c r="AE76" s="3" t="s">
        <v>29</v>
      </c>
      <c r="AF76" s="3" t="s">
        <v>30</v>
      </c>
    </row>
    <row r="77" spans="22:32" x14ac:dyDescent="0.35">
      <c r="V77" s="1" t="s">
        <v>18</v>
      </c>
      <c r="W77" s="1">
        <v>6170.2251122646485</v>
      </c>
      <c r="X77" s="1"/>
      <c r="Y77" s="1"/>
      <c r="Z77" s="1">
        <v>876.39440644103229</v>
      </c>
      <c r="AA77" s="1">
        <v>7.0404661039787326</v>
      </c>
      <c r="AB77" s="1">
        <v>8.8752169937341579E-9</v>
      </c>
      <c r="AC77" s="1">
        <v>4405.0761682555476</v>
      </c>
      <c r="AD77" s="1">
        <v>7935.3740562737494</v>
      </c>
      <c r="AE77" s="1">
        <v>4405.0761682555476</v>
      </c>
      <c r="AF77" s="1">
        <v>7935.3740562737494</v>
      </c>
    </row>
    <row r="78" spans="22:32" x14ac:dyDescent="0.35">
      <c r="V78" s="1" t="s">
        <v>31</v>
      </c>
      <c r="W78" s="1">
        <v>-6.1875188866497126</v>
      </c>
      <c r="X78" s="1"/>
      <c r="Y78" s="1"/>
      <c r="Z78" s="1">
        <v>0.87906121747862409</v>
      </c>
      <c r="AA78" s="1">
        <v>-7.0387804212283687</v>
      </c>
      <c r="AB78" s="1">
        <v>8.9264218823754882E-9</v>
      </c>
      <c r="AC78" s="1">
        <v>-7.9580390638071314</v>
      </c>
      <c r="AD78" s="1">
        <v>-4.4169987094922938</v>
      </c>
      <c r="AE78" s="1">
        <v>-7.9580390638071314</v>
      </c>
      <c r="AF78" s="1">
        <v>-4.4169987094922938</v>
      </c>
    </row>
    <row r="79" spans="22:32" ht="15" thickBot="1" x14ac:dyDescent="0.4">
      <c r="V79" s="2" t="s">
        <v>204</v>
      </c>
      <c r="W79" s="2">
        <v>1.5536973261851554E-3</v>
      </c>
      <c r="X79" s="2"/>
      <c r="Y79" s="2"/>
      <c r="Z79" s="2">
        <v>2.204255215530932E-4</v>
      </c>
      <c r="AA79" s="2">
        <v>7.0486271972409567</v>
      </c>
      <c r="AB79" s="2">
        <v>8.6314499396138557E-9</v>
      </c>
      <c r="AC79" s="2">
        <v>1.1097375362292424E-3</v>
      </c>
      <c r="AD79" s="2">
        <v>1.9976571161410685E-3</v>
      </c>
      <c r="AE79" s="2">
        <v>1.1097375362292424E-3</v>
      </c>
      <c r="AF79" s="2">
        <v>1.9976571161410685E-3</v>
      </c>
    </row>
    <row r="81" spans="1:153" x14ac:dyDescent="0.35">
      <c r="A81" s="5"/>
    </row>
    <row r="82" spans="1:153" x14ac:dyDescent="0.35">
      <c r="A82" s="12">
        <v>1984</v>
      </c>
      <c r="B82" s="11">
        <v>18786.71</v>
      </c>
      <c r="C82" s="11">
        <v>3035.3</v>
      </c>
      <c r="D82" s="11">
        <v>13488.99</v>
      </c>
      <c r="E82" s="11">
        <v>3491.63</v>
      </c>
      <c r="F82" s="11">
        <v>4539.5</v>
      </c>
      <c r="G82" s="11">
        <v>6684.98</v>
      </c>
      <c r="H82" s="11">
        <v>23501.09</v>
      </c>
      <c r="I82" s="11">
        <v>18864.98</v>
      </c>
      <c r="J82" s="11">
        <v>848.56</v>
      </c>
      <c r="K82" s="11">
        <v>20022.25</v>
      </c>
      <c r="L82" s="11">
        <v>1589.94</v>
      </c>
      <c r="M82" s="11">
        <v>838.67</v>
      </c>
      <c r="N82" s="11">
        <v>1203.1199999999999</v>
      </c>
      <c r="O82" s="11">
        <v>8311.99</v>
      </c>
      <c r="P82" s="11">
        <v>19817.72</v>
      </c>
      <c r="Q82" s="14">
        <v>21192.95</v>
      </c>
      <c r="R82" s="11">
        <v>3841.03</v>
      </c>
      <c r="S82" s="11">
        <v>26379.07</v>
      </c>
      <c r="T82" s="11">
        <v>2177.58</v>
      </c>
      <c r="U82" s="11">
        <v>5388.61</v>
      </c>
      <c r="V82" s="11">
        <v>12627.86</v>
      </c>
      <c r="W82" s="11">
        <v>1974.34</v>
      </c>
      <c r="X82" s="11">
        <v>2743.88</v>
      </c>
      <c r="Y82" s="11">
        <v>1086.75</v>
      </c>
      <c r="Z82" s="11">
        <v>26386.22</v>
      </c>
      <c r="AA82" s="11">
        <v>32107.3</v>
      </c>
      <c r="AB82" s="11">
        <v>5983.13</v>
      </c>
      <c r="AC82" s="11">
        <v>2263.1999999999998</v>
      </c>
      <c r="AD82" s="11">
        <v>2508.71</v>
      </c>
      <c r="AE82" s="11">
        <v>3221.01</v>
      </c>
      <c r="AF82" s="11">
        <v>2315.58</v>
      </c>
      <c r="AG82" s="11">
        <v>3538.2</v>
      </c>
      <c r="AH82" s="11">
        <v>6516.68</v>
      </c>
      <c r="AI82" s="11">
        <v>3404.02</v>
      </c>
      <c r="AJ82" s="11">
        <v>1639.41</v>
      </c>
      <c r="AK82" s="11">
        <v>6877.11</v>
      </c>
      <c r="AL82" s="14">
        <v>47976.58</v>
      </c>
      <c r="AM82" s="11">
        <v>15218.85</v>
      </c>
      <c r="AN82" s="11">
        <v>19619.86</v>
      </c>
      <c r="AO82" s="11">
        <v>3229.96</v>
      </c>
      <c r="AP82" s="11">
        <v>5799.79</v>
      </c>
      <c r="AQ82" s="11">
        <v>23031.7</v>
      </c>
      <c r="AR82" s="11">
        <v>4550.17</v>
      </c>
      <c r="AS82" s="11">
        <v>11721.28</v>
      </c>
      <c r="AT82" s="11">
        <v>6514.3</v>
      </c>
      <c r="AU82" s="14">
        <v>1720.33</v>
      </c>
      <c r="AV82" s="11">
        <v>12441.03</v>
      </c>
      <c r="AW82" s="11">
        <v>867.11</v>
      </c>
      <c r="AX82" s="11">
        <v>20181.36</v>
      </c>
      <c r="AY82" s="11">
        <v>4699.38</v>
      </c>
      <c r="AZ82" s="11">
        <v>21227.94</v>
      </c>
      <c r="BA82" s="11">
        <v>11642.65</v>
      </c>
      <c r="BB82" s="11">
        <v>19932.14</v>
      </c>
      <c r="BC82" s="11">
        <v>2512.02</v>
      </c>
      <c r="BD82" s="11">
        <v>3037.37</v>
      </c>
      <c r="BE82" s="11">
        <v>2873.42</v>
      </c>
      <c r="BF82" s="11">
        <v>1296.58</v>
      </c>
      <c r="BG82" s="11">
        <v>2183.4299999999998</v>
      </c>
      <c r="BH82" s="11">
        <v>13382.99</v>
      </c>
      <c r="BI82" s="11">
        <v>3075.97</v>
      </c>
      <c r="BJ82" s="11">
        <v>3467.19</v>
      </c>
      <c r="BK82" s="11">
        <v>17807.05</v>
      </c>
      <c r="BL82" s="11">
        <v>2590.44</v>
      </c>
      <c r="BM82" s="11">
        <v>1417.36</v>
      </c>
      <c r="BN82" s="11">
        <v>10873.82</v>
      </c>
      <c r="BO82" s="11">
        <v>2595.16</v>
      </c>
      <c r="BP82" s="11">
        <v>1030.92</v>
      </c>
      <c r="BQ82" s="11">
        <v>13451.05</v>
      </c>
      <c r="BR82" s="11">
        <v>3194.15</v>
      </c>
      <c r="BS82" s="11">
        <v>4569.1499999999996</v>
      </c>
      <c r="BT82" s="11">
        <v>27402.44</v>
      </c>
      <c r="BU82" s="11">
        <v>17717.88</v>
      </c>
      <c r="BV82" s="11">
        <v>19490.41</v>
      </c>
      <c r="BW82" s="11">
        <v>4103.1000000000004</v>
      </c>
      <c r="BX82" s="11">
        <v>4341.1499999999996</v>
      </c>
      <c r="BY82" s="11">
        <v>18071.599999999999</v>
      </c>
      <c r="BZ82" s="11">
        <v>2071.9299999999998</v>
      </c>
      <c r="CA82" s="11">
        <v>817.07</v>
      </c>
      <c r="CB82" s="11">
        <v>7183.27</v>
      </c>
      <c r="CC82" s="11">
        <v>6331.12</v>
      </c>
      <c r="CD82" s="11">
        <v>38706.1</v>
      </c>
      <c r="CE82" s="11">
        <v>946.75</v>
      </c>
      <c r="CF82" s="11">
        <v>5422.9</v>
      </c>
      <c r="CG82" s="11">
        <v>1492.02</v>
      </c>
      <c r="CH82" s="11">
        <v>5509.21</v>
      </c>
      <c r="CI82" s="11">
        <v>2392.29</v>
      </c>
      <c r="CJ82" s="11">
        <v>1229.18</v>
      </c>
      <c r="CK82" s="11">
        <v>29561.21</v>
      </c>
      <c r="CL82" s="11">
        <v>3063.16</v>
      </c>
      <c r="CM82" s="11">
        <v>1347.01</v>
      </c>
      <c r="CN82" s="11">
        <v>3070.12</v>
      </c>
      <c r="CO82" s="11">
        <v>11991.74</v>
      </c>
      <c r="CP82" s="11">
        <v>695.6</v>
      </c>
      <c r="CQ82" s="11">
        <v>10080.74</v>
      </c>
      <c r="CR82" s="11">
        <v>1006.68</v>
      </c>
      <c r="CS82" s="11">
        <v>2188.11</v>
      </c>
      <c r="CT82" s="11">
        <v>624.4</v>
      </c>
      <c r="CU82" s="11">
        <v>2011.95</v>
      </c>
      <c r="CV82" s="11">
        <v>12849.68</v>
      </c>
      <c r="CW82" s="11">
        <v>6219.29</v>
      </c>
      <c r="CX82" s="11">
        <v>1355.44</v>
      </c>
      <c r="CY82" s="11">
        <v>7696.18</v>
      </c>
      <c r="CZ82" s="11">
        <v>5727.23</v>
      </c>
      <c r="DA82" s="11">
        <v>870.59</v>
      </c>
      <c r="DB82" s="11">
        <v>4450.32</v>
      </c>
      <c r="DC82" s="11">
        <v>4698.6000000000004</v>
      </c>
      <c r="DD82" s="11">
        <v>22641.09</v>
      </c>
      <c r="DE82" s="11">
        <v>25805.3</v>
      </c>
      <c r="DF82" s="11">
        <v>826.21</v>
      </c>
      <c r="DG82" s="11">
        <v>18610.2</v>
      </c>
      <c r="DH82" s="11">
        <v>13063.71</v>
      </c>
      <c r="DI82" s="11">
        <v>2198.67</v>
      </c>
      <c r="DJ82" s="11">
        <v>6353.94</v>
      </c>
      <c r="DK82" s="11">
        <v>3856.5</v>
      </c>
      <c r="DL82" s="11">
        <v>2897.69</v>
      </c>
      <c r="DM82" s="11">
        <v>6754.48</v>
      </c>
      <c r="DN82" s="11">
        <v>9298.77</v>
      </c>
      <c r="DO82" s="11">
        <v>3350.41</v>
      </c>
      <c r="DP82" s="11">
        <v>2273.7199999999998</v>
      </c>
      <c r="DQ82" s="11">
        <v>7147.08</v>
      </c>
      <c r="DR82" s="11">
        <v>1165.44</v>
      </c>
      <c r="DS82" s="14">
        <v>21548.57</v>
      </c>
      <c r="DT82" s="11">
        <v>1523.43</v>
      </c>
      <c r="DU82" s="11">
        <v>2426.65</v>
      </c>
      <c r="DV82" s="11">
        <v>16431.439999999999</v>
      </c>
      <c r="DW82" s="11">
        <v>1228.3</v>
      </c>
      <c r="DX82" s="11">
        <v>2330.9699999999998</v>
      </c>
      <c r="DY82" s="11">
        <v>1886.39</v>
      </c>
      <c r="DZ82" s="11">
        <v>5854.57</v>
      </c>
      <c r="EA82" s="11">
        <v>22829.72</v>
      </c>
      <c r="EB82" s="11">
        <v>4008.31</v>
      </c>
      <c r="EC82" s="11">
        <v>10844.35</v>
      </c>
      <c r="ED82" s="11">
        <v>1887.01</v>
      </c>
      <c r="EE82" s="11">
        <v>8373.42</v>
      </c>
      <c r="EF82" s="11">
        <v>1079.75</v>
      </c>
      <c r="EG82" s="11">
        <v>1457.43</v>
      </c>
      <c r="EH82" s="11">
        <v>3635.4</v>
      </c>
      <c r="EI82" s="11">
        <v>16531.310000000001</v>
      </c>
      <c r="EJ82" s="11">
        <v>4667.22</v>
      </c>
      <c r="EK82" s="11">
        <v>8550.59</v>
      </c>
      <c r="EL82" s="11">
        <v>12325.87</v>
      </c>
      <c r="EM82" s="11">
        <v>1634.68</v>
      </c>
      <c r="EN82" s="11">
        <v>844.11</v>
      </c>
      <c r="EO82" s="11">
        <v>7512.96</v>
      </c>
      <c r="EP82" s="11">
        <v>31519.54</v>
      </c>
      <c r="EQ82" s="11">
        <v>4483.3999999999996</v>
      </c>
      <c r="ER82" s="11">
        <v>9217.86</v>
      </c>
      <c r="ES82" s="11">
        <v>7139.55</v>
      </c>
      <c r="ET82" s="11">
        <v>1104.73</v>
      </c>
      <c r="EU82" s="11">
        <v>8959.18</v>
      </c>
      <c r="EV82" s="11">
        <v>1829.18</v>
      </c>
      <c r="EW82" s="13">
        <v>3311.18</v>
      </c>
    </row>
    <row r="83" spans="1:153" x14ac:dyDescent="0.35">
      <c r="F83">
        <v>1984</v>
      </c>
      <c r="H83" t="s">
        <v>221</v>
      </c>
      <c r="I83">
        <v>2004</v>
      </c>
      <c r="K83" t="s">
        <v>221</v>
      </c>
    </row>
    <row r="84" spans="1:153" x14ac:dyDescent="0.35">
      <c r="B84" s="14"/>
      <c r="F84" s="11">
        <v>18786.71</v>
      </c>
      <c r="G84" s="15">
        <f>F84/1000</f>
        <v>18.786709999999999</v>
      </c>
      <c r="H84">
        <f>LN(F84)</f>
        <v>9.8409049839422718</v>
      </c>
    </row>
    <row r="85" spans="1:153" x14ac:dyDescent="0.35">
      <c r="B85" s="11"/>
      <c r="F85" s="11">
        <v>3035.3</v>
      </c>
      <c r="G85" s="15">
        <f t="shared" ref="G85:G148" si="0">F85/1000</f>
        <v>3.0353000000000003</v>
      </c>
      <c r="H85">
        <f t="shared" ref="H85:H148" si="1">LN(F85)</f>
        <v>8.0180655453960572</v>
      </c>
      <c r="I85">
        <v>42554.43</v>
      </c>
      <c r="J85" s="15">
        <f>I85/1000</f>
        <v>42.554430000000004</v>
      </c>
      <c r="K85">
        <f>LN(I85)</f>
        <v>10.658539241390619</v>
      </c>
    </row>
    <row r="86" spans="1:153" x14ac:dyDescent="0.35">
      <c r="B86" s="11"/>
      <c r="F86" s="11">
        <v>13488.99</v>
      </c>
      <c r="G86" s="15">
        <f t="shared" si="0"/>
        <v>13.488989999999999</v>
      </c>
      <c r="H86">
        <f t="shared" si="1"/>
        <v>9.5096290761246056</v>
      </c>
      <c r="I86">
        <v>2788.95</v>
      </c>
      <c r="J86" s="15">
        <f t="shared" ref="J86:J149" si="2">I86/1000</f>
        <v>2.7889499999999998</v>
      </c>
      <c r="K86">
        <f t="shared" ref="K86:K149" si="3">LN(I86)</f>
        <v>7.9334204598941813</v>
      </c>
    </row>
    <row r="87" spans="1:153" x14ac:dyDescent="0.35">
      <c r="B87" s="11"/>
      <c r="F87" s="11">
        <v>3491.63</v>
      </c>
      <c r="G87" s="15">
        <f t="shared" si="0"/>
        <v>3.4916300000000002</v>
      </c>
      <c r="H87">
        <f t="shared" si="1"/>
        <v>8.1581239548737727</v>
      </c>
      <c r="I87">
        <v>25550.42</v>
      </c>
      <c r="J87" s="15">
        <f t="shared" si="2"/>
        <v>25.550419999999999</v>
      </c>
      <c r="K87">
        <f t="shared" si="3"/>
        <v>10.148409033852907</v>
      </c>
    </row>
    <row r="88" spans="1:153" x14ac:dyDescent="0.35">
      <c r="B88" s="11"/>
      <c r="F88" s="11">
        <v>4539.5</v>
      </c>
      <c r="G88" s="15">
        <f t="shared" si="0"/>
        <v>4.5395000000000003</v>
      </c>
      <c r="H88">
        <f t="shared" si="1"/>
        <v>8.4205721528118112</v>
      </c>
      <c r="I88">
        <v>5515.28</v>
      </c>
      <c r="J88" s="15">
        <f t="shared" si="2"/>
        <v>5.5152799999999997</v>
      </c>
      <c r="K88">
        <f t="shared" si="3"/>
        <v>8.6152777010243842</v>
      </c>
    </row>
    <row r="89" spans="1:153" x14ac:dyDescent="0.35">
      <c r="B89" s="11"/>
      <c r="F89" s="11">
        <v>6684.98</v>
      </c>
      <c r="G89" s="15">
        <f t="shared" si="0"/>
        <v>6.6849799999999995</v>
      </c>
      <c r="H89">
        <f t="shared" si="1"/>
        <v>8.8076184977589431</v>
      </c>
      <c r="I89">
        <v>12074.4</v>
      </c>
      <c r="J89" s="15">
        <f t="shared" si="2"/>
        <v>12.074399999999999</v>
      </c>
      <c r="K89">
        <f t="shared" si="3"/>
        <v>9.3988427878452185</v>
      </c>
    </row>
    <row r="90" spans="1:153" x14ac:dyDescent="0.35">
      <c r="B90" s="11"/>
      <c r="F90" s="11">
        <v>23501.09</v>
      </c>
      <c r="G90" s="15">
        <f t="shared" si="0"/>
        <v>23.501090000000001</v>
      </c>
      <c r="H90">
        <f t="shared" si="1"/>
        <v>10.064802082035317</v>
      </c>
      <c r="I90">
        <v>15629.99</v>
      </c>
      <c r="J90" s="15">
        <f t="shared" si="2"/>
        <v>15.629989999999999</v>
      </c>
      <c r="K90">
        <f t="shared" si="3"/>
        <v>9.656946783620052</v>
      </c>
    </row>
    <row r="91" spans="1:153" x14ac:dyDescent="0.35">
      <c r="B91" s="11"/>
      <c r="F91" s="11">
        <v>18864.98</v>
      </c>
      <c r="G91" s="15">
        <f t="shared" si="0"/>
        <v>18.864979999999999</v>
      </c>
      <c r="H91">
        <f t="shared" si="1"/>
        <v>9.8450625722335232</v>
      </c>
      <c r="I91">
        <v>39174.379999999997</v>
      </c>
      <c r="J91" s="15">
        <f t="shared" si="2"/>
        <v>39.174379999999999</v>
      </c>
      <c r="K91">
        <f t="shared" si="3"/>
        <v>10.575778240679071</v>
      </c>
    </row>
    <row r="92" spans="1:153" x14ac:dyDescent="0.35">
      <c r="B92" s="11"/>
      <c r="F92" s="11">
        <v>848.56</v>
      </c>
      <c r="G92" s="15">
        <f t="shared" si="0"/>
        <v>0.84855999999999998</v>
      </c>
      <c r="H92">
        <f t="shared" si="1"/>
        <v>6.7435407951972151</v>
      </c>
      <c r="I92">
        <v>37184.22</v>
      </c>
      <c r="J92" s="15">
        <f t="shared" si="2"/>
        <v>37.184220000000003</v>
      </c>
      <c r="K92">
        <f t="shared" si="3"/>
        <v>10.523639756717316</v>
      </c>
    </row>
    <row r="93" spans="1:153" x14ac:dyDescent="0.35">
      <c r="B93" s="11"/>
      <c r="F93" s="11">
        <v>20022.25</v>
      </c>
      <c r="G93" s="15">
        <f t="shared" si="0"/>
        <v>20.02225</v>
      </c>
      <c r="H93">
        <f t="shared" si="1"/>
        <v>9.9045994341665846</v>
      </c>
      <c r="I93">
        <v>635.71</v>
      </c>
      <c r="J93" s="15">
        <f t="shared" si="2"/>
        <v>0.63571</v>
      </c>
      <c r="K93">
        <f t="shared" si="3"/>
        <v>6.4547424845092145</v>
      </c>
    </row>
    <row r="94" spans="1:153" x14ac:dyDescent="0.35">
      <c r="B94" s="11"/>
      <c r="F94" s="11">
        <v>1589.94</v>
      </c>
      <c r="G94" s="15">
        <f t="shared" si="0"/>
        <v>1.5899400000000001</v>
      </c>
      <c r="H94">
        <f t="shared" si="1"/>
        <v>7.3714515586532059</v>
      </c>
      <c r="I94">
        <v>35311.25</v>
      </c>
      <c r="J94" s="15">
        <f t="shared" si="2"/>
        <v>35.311250000000001</v>
      </c>
      <c r="K94">
        <f t="shared" si="3"/>
        <v>10.471956889032176</v>
      </c>
    </row>
    <row r="95" spans="1:153" x14ac:dyDescent="0.35">
      <c r="B95" s="11"/>
      <c r="F95" s="11">
        <v>838.67</v>
      </c>
      <c r="G95" s="15">
        <f t="shared" si="0"/>
        <v>0.83866999999999992</v>
      </c>
      <c r="H95">
        <f t="shared" si="1"/>
        <v>6.7318173037071212</v>
      </c>
      <c r="I95">
        <v>1787.1</v>
      </c>
      <c r="J95" s="15">
        <f t="shared" si="2"/>
        <v>1.7870999999999999</v>
      </c>
      <c r="K95">
        <f t="shared" si="3"/>
        <v>7.4883494733027511</v>
      </c>
    </row>
    <row r="96" spans="1:153" x14ac:dyDescent="0.35">
      <c r="B96" s="11"/>
      <c r="F96" s="11">
        <v>1203.1199999999999</v>
      </c>
      <c r="G96" s="15">
        <f t="shared" si="0"/>
        <v>1.20312</v>
      </c>
      <c r="H96">
        <f t="shared" si="1"/>
        <v>7.0926734616233578</v>
      </c>
      <c r="I96">
        <v>1193.77</v>
      </c>
      <c r="J96" s="15">
        <f t="shared" si="2"/>
        <v>1.19377</v>
      </c>
      <c r="K96">
        <f t="shared" si="3"/>
        <v>7.0848716455812957</v>
      </c>
    </row>
    <row r="97" spans="2:11" x14ac:dyDescent="0.35">
      <c r="B97" s="14"/>
      <c r="F97" s="11">
        <v>8311.99</v>
      </c>
      <c r="G97" s="15">
        <f t="shared" si="0"/>
        <v>8.3119899999999998</v>
      </c>
      <c r="H97">
        <f t="shared" si="1"/>
        <v>9.0254543296984551</v>
      </c>
      <c r="I97">
        <v>1432.85</v>
      </c>
      <c r="J97" s="15">
        <f t="shared" si="2"/>
        <v>1.43285</v>
      </c>
      <c r="K97">
        <f t="shared" si="3"/>
        <v>7.2674207468433769</v>
      </c>
    </row>
    <row r="98" spans="2:11" x14ac:dyDescent="0.35">
      <c r="B98" s="11"/>
      <c r="F98" s="11">
        <v>19817.72</v>
      </c>
      <c r="G98" s="15">
        <f t="shared" si="0"/>
        <v>19.817720000000001</v>
      </c>
      <c r="H98">
        <f t="shared" si="1"/>
        <v>9.8943317659490493</v>
      </c>
      <c r="I98">
        <v>10102.43</v>
      </c>
      <c r="J98" s="15">
        <f t="shared" si="2"/>
        <v>10.10243</v>
      </c>
      <c r="K98">
        <f t="shared" si="3"/>
        <v>9.2205312679506477</v>
      </c>
    </row>
    <row r="99" spans="2:11" x14ac:dyDescent="0.35">
      <c r="B99" s="14"/>
      <c r="F99" s="14">
        <v>21192.95</v>
      </c>
      <c r="G99" s="15">
        <f t="shared" si="0"/>
        <v>21.19295</v>
      </c>
      <c r="H99">
        <f t="shared" si="1"/>
        <v>9.9614238581842205</v>
      </c>
      <c r="I99">
        <v>30065.99</v>
      </c>
      <c r="J99" s="15">
        <f t="shared" si="2"/>
        <v>30.065990000000003</v>
      </c>
      <c r="K99">
        <f t="shared" si="3"/>
        <v>10.311149911586115</v>
      </c>
    </row>
    <row r="100" spans="2:11" x14ac:dyDescent="0.35">
      <c r="B100" s="11"/>
      <c r="F100" s="11">
        <v>3841.03</v>
      </c>
      <c r="G100" s="15">
        <f t="shared" si="0"/>
        <v>3.8410300000000004</v>
      </c>
      <c r="H100">
        <f t="shared" si="1"/>
        <v>8.2534958387814275</v>
      </c>
      <c r="I100" s="6">
        <v>33573.440000000002</v>
      </c>
      <c r="J100" s="15">
        <f t="shared" si="2"/>
        <v>33.573440000000005</v>
      </c>
      <c r="K100">
        <f t="shared" si="3"/>
        <v>10.421490557169774</v>
      </c>
    </row>
    <row r="101" spans="2:11" x14ac:dyDescent="0.35">
      <c r="B101" s="11"/>
      <c r="F101" s="11">
        <v>26379.07</v>
      </c>
      <c r="G101" s="15">
        <f t="shared" si="0"/>
        <v>26.379069999999999</v>
      </c>
      <c r="H101">
        <f t="shared" si="1"/>
        <v>10.180326171669581</v>
      </c>
      <c r="I101">
        <v>7544.05</v>
      </c>
      <c r="J101" s="15">
        <f t="shared" si="2"/>
        <v>7.5440500000000004</v>
      </c>
      <c r="K101">
        <f t="shared" si="3"/>
        <v>8.9285144520749995</v>
      </c>
    </row>
    <row r="102" spans="2:11" x14ac:dyDescent="0.35">
      <c r="B102" s="11"/>
      <c r="F102" s="11">
        <v>2177.58</v>
      </c>
      <c r="G102" s="15">
        <f t="shared" si="0"/>
        <v>2.1775799999999998</v>
      </c>
      <c r="H102">
        <f t="shared" si="1"/>
        <v>7.6859694474318063</v>
      </c>
      <c r="I102">
        <v>48518.55</v>
      </c>
      <c r="J102" s="15">
        <f t="shared" si="2"/>
        <v>48.518550000000005</v>
      </c>
      <c r="K102">
        <f t="shared" si="3"/>
        <v>10.789701478027757</v>
      </c>
    </row>
    <row r="103" spans="2:11" x14ac:dyDescent="0.35">
      <c r="B103" s="11"/>
      <c r="F103" s="11">
        <v>5388.61</v>
      </c>
      <c r="G103" s="15">
        <f t="shared" si="0"/>
        <v>5.3886099999999999</v>
      </c>
      <c r="H103">
        <f t="shared" si="1"/>
        <v>8.5920427456728241</v>
      </c>
      <c r="I103">
        <v>3596.87</v>
      </c>
      <c r="J103" s="15">
        <f t="shared" si="2"/>
        <v>3.59687</v>
      </c>
      <c r="K103">
        <f t="shared" si="3"/>
        <v>8.1878193018137129</v>
      </c>
    </row>
    <row r="104" spans="2:11" x14ac:dyDescent="0.35">
      <c r="B104" s="11"/>
      <c r="F104" s="11">
        <v>12627.86</v>
      </c>
      <c r="G104" s="15">
        <f t="shared" si="0"/>
        <v>12.62786</v>
      </c>
      <c r="H104">
        <f t="shared" si="1"/>
        <v>9.443660763141926</v>
      </c>
      <c r="I104">
        <v>8720.19</v>
      </c>
      <c r="J104" s="15">
        <f t="shared" si="2"/>
        <v>8.7201900000000006</v>
      </c>
      <c r="K104">
        <f t="shared" si="3"/>
        <v>9.073396305656475</v>
      </c>
    </row>
    <row r="105" spans="2:11" x14ac:dyDescent="0.35">
      <c r="B105" s="11"/>
      <c r="F105" s="11">
        <v>1974.34</v>
      </c>
      <c r="G105" s="15">
        <f t="shared" si="0"/>
        <v>1.97434</v>
      </c>
      <c r="H105">
        <f t="shared" si="1"/>
        <v>7.5879894442703844</v>
      </c>
      <c r="I105">
        <v>20486.189999999999</v>
      </c>
      <c r="J105" s="15">
        <f t="shared" si="2"/>
        <v>20.486189999999997</v>
      </c>
      <c r="K105">
        <f t="shared" si="3"/>
        <v>9.9275062795800455</v>
      </c>
    </row>
    <row r="106" spans="2:11" x14ac:dyDescent="0.35">
      <c r="B106" s="11"/>
      <c r="F106" s="11">
        <v>2743.88</v>
      </c>
      <c r="G106" s="15">
        <f t="shared" si="0"/>
        <v>2.7438800000000003</v>
      </c>
      <c r="H106">
        <f t="shared" si="1"/>
        <v>7.9171282561110878</v>
      </c>
      <c r="I106">
        <v>5037.99</v>
      </c>
      <c r="J106" s="15">
        <f t="shared" si="2"/>
        <v>5.0379899999999997</v>
      </c>
      <c r="K106">
        <f t="shared" si="3"/>
        <v>8.5247624719959365</v>
      </c>
    </row>
    <row r="107" spans="2:11" x14ac:dyDescent="0.35">
      <c r="B107" s="11"/>
      <c r="F107" s="11">
        <v>1086.75</v>
      </c>
      <c r="G107" s="15">
        <f t="shared" si="0"/>
        <v>1.0867500000000001</v>
      </c>
      <c r="H107">
        <f t="shared" si="1"/>
        <v>6.9909468698689015</v>
      </c>
      <c r="I107">
        <v>11145.77</v>
      </c>
      <c r="J107" s="15">
        <f t="shared" si="2"/>
        <v>11.145770000000001</v>
      </c>
      <c r="K107">
        <f t="shared" si="3"/>
        <v>9.3188153327111181</v>
      </c>
    </row>
    <row r="108" spans="2:11" x14ac:dyDescent="0.35">
      <c r="B108" s="11"/>
      <c r="F108" s="11">
        <v>26386.22</v>
      </c>
      <c r="G108" s="15">
        <f t="shared" si="0"/>
        <v>26.386220000000002</v>
      </c>
      <c r="H108">
        <f t="shared" si="1"/>
        <v>10.180597183163833</v>
      </c>
      <c r="I108">
        <v>844.77</v>
      </c>
      <c r="J108" s="15">
        <f t="shared" si="2"/>
        <v>0.84477000000000002</v>
      </c>
      <c r="K108">
        <f t="shared" si="3"/>
        <v>6.7390644009578171</v>
      </c>
    </row>
    <row r="109" spans="2:11" x14ac:dyDescent="0.35">
      <c r="B109" s="11"/>
      <c r="F109" s="11">
        <v>32107.3</v>
      </c>
      <c r="G109" s="15">
        <f t="shared" si="0"/>
        <v>32.107300000000002</v>
      </c>
      <c r="H109">
        <f t="shared" si="1"/>
        <v>10.376838697593607</v>
      </c>
      <c r="I109">
        <v>39645.449999999997</v>
      </c>
      <c r="J109" s="15">
        <f t="shared" si="2"/>
        <v>39.645449999999997</v>
      </c>
      <c r="K109">
        <f t="shared" si="3"/>
        <v>10.587731466379878</v>
      </c>
    </row>
    <row r="110" spans="2:11" x14ac:dyDescent="0.35">
      <c r="B110" s="11"/>
      <c r="F110" s="11">
        <v>5983.13</v>
      </c>
      <c r="G110" s="15">
        <f t="shared" si="0"/>
        <v>5.9831300000000001</v>
      </c>
      <c r="H110">
        <f t="shared" si="1"/>
        <v>8.6966991213839631</v>
      </c>
      <c r="I110">
        <v>42735.63</v>
      </c>
      <c r="J110" s="15">
        <f t="shared" si="2"/>
        <v>42.73563</v>
      </c>
      <c r="K110">
        <f t="shared" si="3"/>
        <v>10.662788277506198</v>
      </c>
    </row>
    <row r="111" spans="2:11" x14ac:dyDescent="0.35">
      <c r="B111" s="11"/>
      <c r="F111" s="11">
        <v>2263.1999999999998</v>
      </c>
      <c r="G111" s="15">
        <f t="shared" si="0"/>
        <v>2.2631999999999999</v>
      </c>
      <c r="H111">
        <f t="shared" si="1"/>
        <v>7.724535019987357</v>
      </c>
      <c r="I111">
        <v>12446.88</v>
      </c>
      <c r="J111" s="15">
        <f t="shared" si="2"/>
        <v>12.446879999999998</v>
      </c>
      <c r="K111">
        <f t="shared" si="3"/>
        <v>9.4292252680771842</v>
      </c>
    </row>
    <row r="112" spans="2:11" x14ac:dyDescent="0.35">
      <c r="B112" s="11"/>
      <c r="F112" s="11">
        <v>2508.71</v>
      </c>
      <c r="G112" s="15">
        <f t="shared" si="0"/>
        <v>2.5087100000000002</v>
      </c>
      <c r="H112">
        <f t="shared" si="1"/>
        <v>7.8275239557881218</v>
      </c>
      <c r="I112">
        <v>5571.86</v>
      </c>
      <c r="J112" s="15">
        <f t="shared" si="2"/>
        <v>5.57186</v>
      </c>
      <c r="K112">
        <f t="shared" si="3"/>
        <v>8.6254842089559016</v>
      </c>
    </row>
    <row r="113" spans="2:11" x14ac:dyDescent="0.35">
      <c r="B113" s="11"/>
      <c r="F113" s="11">
        <v>3221.01</v>
      </c>
      <c r="G113" s="15">
        <f t="shared" si="0"/>
        <v>3.2210100000000002</v>
      </c>
      <c r="H113">
        <f t="shared" si="1"/>
        <v>8.0774502539522715</v>
      </c>
      <c r="I113">
        <v>2159.0100000000002</v>
      </c>
      <c r="J113" s="15">
        <f t="shared" si="2"/>
        <v>2.1590100000000003</v>
      </c>
      <c r="K113">
        <f t="shared" si="3"/>
        <v>7.6774050622780505</v>
      </c>
    </row>
    <row r="114" spans="2:11" x14ac:dyDescent="0.35">
      <c r="B114" s="11"/>
      <c r="F114" s="11">
        <v>2315.58</v>
      </c>
      <c r="G114" s="15">
        <f t="shared" si="0"/>
        <v>2.3155799999999997</v>
      </c>
      <c r="H114">
        <f t="shared" si="1"/>
        <v>7.7474154750972444</v>
      </c>
      <c r="I114">
        <v>2602.54</v>
      </c>
      <c r="J114" s="15">
        <f t="shared" si="2"/>
        <v>2.6025399999999999</v>
      </c>
      <c r="K114">
        <f t="shared" si="3"/>
        <v>7.8642431702077049</v>
      </c>
    </row>
    <row r="115" spans="2:11" x14ac:dyDescent="0.35">
      <c r="B115" s="11"/>
      <c r="F115" s="11">
        <v>3538.2</v>
      </c>
      <c r="G115" s="15">
        <f t="shared" si="0"/>
        <v>3.5381999999999998</v>
      </c>
      <c r="H115">
        <f t="shared" si="1"/>
        <v>8.1713734022345133</v>
      </c>
      <c r="I115">
        <v>553.70000000000005</v>
      </c>
      <c r="J115" s="15">
        <f t="shared" si="2"/>
        <v>0.55370000000000008</v>
      </c>
      <c r="K115">
        <f t="shared" si="3"/>
        <v>6.3166230238289218</v>
      </c>
    </row>
    <row r="116" spans="2:11" x14ac:dyDescent="0.35">
      <c r="B116" s="11"/>
      <c r="F116" s="11">
        <v>6516.68</v>
      </c>
      <c r="G116" s="15">
        <f t="shared" si="0"/>
        <v>6.51668</v>
      </c>
      <c r="H116">
        <f t="shared" si="1"/>
        <v>8.7821203227791145</v>
      </c>
      <c r="I116">
        <v>2620.8200000000002</v>
      </c>
      <c r="J116" s="15">
        <f t="shared" si="2"/>
        <v>2.6208200000000001</v>
      </c>
      <c r="K116">
        <f t="shared" si="3"/>
        <v>7.8712425248872639</v>
      </c>
    </row>
    <row r="117" spans="2:11" x14ac:dyDescent="0.35">
      <c r="B117" s="11"/>
      <c r="F117" s="11">
        <v>3404.02</v>
      </c>
      <c r="G117" s="15">
        <f t="shared" si="0"/>
        <v>3.40402</v>
      </c>
      <c r="H117">
        <f t="shared" si="1"/>
        <v>8.132712365116662</v>
      </c>
      <c r="I117">
        <v>7326.3</v>
      </c>
      <c r="J117" s="15">
        <f t="shared" si="2"/>
        <v>7.3262999999999998</v>
      </c>
      <c r="K117">
        <f t="shared" si="3"/>
        <v>8.8992258925412795</v>
      </c>
    </row>
    <row r="118" spans="2:11" x14ac:dyDescent="0.35">
      <c r="B118" s="11"/>
      <c r="F118" s="11">
        <v>1639.41</v>
      </c>
      <c r="G118" s="15">
        <f t="shared" si="0"/>
        <v>1.63941</v>
      </c>
      <c r="H118">
        <f t="shared" si="1"/>
        <v>7.4020916999929334</v>
      </c>
      <c r="I118">
        <v>2679.11</v>
      </c>
      <c r="J118" s="15">
        <f t="shared" si="2"/>
        <v>2.6791100000000001</v>
      </c>
      <c r="K118">
        <f t="shared" si="3"/>
        <v>7.8932399287987174</v>
      </c>
    </row>
    <row r="119" spans="2:11" x14ac:dyDescent="0.35">
      <c r="B119" s="11"/>
      <c r="F119" s="11">
        <v>6877.11</v>
      </c>
      <c r="G119" s="15">
        <f t="shared" si="0"/>
        <v>6.8771100000000001</v>
      </c>
      <c r="H119">
        <f t="shared" si="1"/>
        <v>8.8359537845387202</v>
      </c>
      <c r="I119">
        <v>4113.5</v>
      </c>
      <c r="J119" s="15">
        <f t="shared" si="2"/>
        <v>4.1135000000000002</v>
      </c>
      <c r="K119">
        <f t="shared" si="3"/>
        <v>8.3220295266089845</v>
      </c>
    </row>
    <row r="120" spans="2:11" x14ac:dyDescent="0.35">
      <c r="B120" s="11"/>
      <c r="F120" s="14">
        <v>47976.58</v>
      </c>
      <c r="G120" s="15">
        <f t="shared" si="0"/>
        <v>47.976579999999998</v>
      </c>
      <c r="H120">
        <f t="shared" si="1"/>
        <v>10.778468254153292</v>
      </c>
      <c r="I120">
        <v>10429.75</v>
      </c>
      <c r="J120" s="15">
        <f t="shared" si="2"/>
        <v>10.42975</v>
      </c>
      <c r="K120">
        <f t="shared" si="3"/>
        <v>9.2524175783882789</v>
      </c>
    </row>
    <row r="121" spans="2:11" x14ac:dyDescent="0.35">
      <c r="B121" s="11"/>
      <c r="F121" s="11">
        <v>15218.85</v>
      </c>
      <c r="G121" s="15">
        <f t="shared" si="0"/>
        <v>15.21885</v>
      </c>
      <c r="H121">
        <f t="shared" si="1"/>
        <v>9.6302900700853016</v>
      </c>
      <c r="I121" s="6">
        <v>60824.49</v>
      </c>
      <c r="J121" s="15">
        <f t="shared" si="2"/>
        <v>60.824489999999997</v>
      </c>
      <c r="K121">
        <f t="shared" si="3"/>
        <v>11.015747782906336</v>
      </c>
    </row>
    <row r="122" spans="2:11" x14ac:dyDescent="0.35">
      <c r="B122" s="11"/>
      <c r="F122" s="11">
        <v>19619.86</v>
      </c>
      <c r="G122" s="15">
        <f t="shared" si="0"/>
        <v>19.619859999999999</v>
      </c>
      <c r="H122">
        <f t="shared" si="1"/>
        <v>9.8842975975179534</v>
      </c>
      <c r="I122">
        <v>28910.89</v>
      </c>
      <c r="J122" s="15">
        <f t="shared" si="2"/>
        <v>28.910889999999998</v>
      </c>
      <c r="K122">
        <f t="shared" si="3"/>
        <v>10.271973619731972</v>
      </c>
    </row>
    <row r="123" spans="2:11" x14ac:dyDescent="0.35">
      <c r="B123" s="11"/>
      <c r="F123" s="11">
        <v>3229.96</v>
      </c>
      <c r="G123" s="15">
        <f t="shared" si="0"/>
        <v>3.2299600000000002</v>
      </c>
      <c r="H123">
        <f t="shared" si="1"/>
        <v>8.0802250322390918</v>
      </c>
      <c r="I123">
        <v>35248.82</v>
      </c>
      <c r="J123" s="15">
        <f t="shared" si="2"/>
        <v>35.248820000000002</v>
      </c>
      <c r="K123">
        <f t="shared" si="3"/>
        <v>10.470187332502803</v>
      </c>
    </row>
    <row r="124" spans="2:11" x14ac:dyDescent="0.35">
      <c r="B124" s="11"/>
      <c r="F124" s="11">
        <v>5799.79</v>
      </c>
      <c r="G124" s="15">
        <f t="shared" si="0"/>
        <v>5.7997899999999998</v>
      </c>
      <c r="H124">
        <f t="shared" si="1"/>
        <v>8.6655769889824743</v>
      </c>
      <c r="I124">
        <v>2463.69</v>
      </c>
      <c r="J124" s="15">
        <f t="shared" si="2"/>
        <v>2.4636900000000002</v>
      </c>
      <c r="K124">
        <f t="shared" si="3"/>
        <v>7.8094155050501444</v>
      </c>
    </row>
    <row r="125" spans="2:11" x14ac:dyDescent="0.35">
      <c r="B125" s="11"/>
      <c r="F125" s="11">
        <v>23031.7</v>
      </c>
      <c r="G125" s="15">
        <f t="shared" si="0"/>
        <v>23.031700000000001</v>
      </c>
      <c r="H125">
        <f t="shared" si="1"/>
        <v>10.044626806851154</v>
      </c>
      <c r="I125">
        <v>8186.58</v>
      </c>
      <c r="J125" s="15">
        <f t="shared" si="2"/>
        <v>8.1865799999999993</v>
      </c>
      <c r="K125">
        <f t="shared" si="3"/>
        <v>9.0102515072177152</v>
      </c>
    </row>
    <row r="126" spans="2:11" x14ac:dyDescent="0.35">
      <c r="B126" s="11"/>
      <c r="F126" s="11">
        <v>4550.17</v>
      </c>
      <c r="G126" s="15">
        <f t="shared" si="0"/>
        <v>4.5501700000000005</v>
      </c>
      <c r="H126">
        <f t="shared" si="1"/>
        <v>8.4229198738843927</v>
      </c>
      <c r="I126">
        <v>35937.85</v>
      </c>
      <c r="J126" s="15">
        <f t="shared" si="2"/>
        <v>35.937849999999997</v>
      </c>
      <c r="K126">
        <f t="shared" si="3"/>
        <v>10.489546336622716</v>
      </c>
    </row>
    <row r="127" spans="2:11" x14ac:dyDescent="0.35">
      <c r="B127" s="11"/>
      <c r="F127" s="11">
        <v>11721.28</v>
      </c>
      <c r="G127" s="15">
        <f t="shared" si="0"/>
        <v>11.72128</v>
      </c>
      <c r="H127">
        <f t="shared" si="1"/>
        <v>9.3691612721845434</v>
      </c>
      <c r="I127">
        <v>7836.55</v>
      </c>
      <c r="J127" s="15">
        <f t="shared" si="2"/>
        <v>7.8365499999999999</v>
      </c>
      <c r="K127">
        <f t="shared" si="3"/>
        <v>8.9665539654731816</v>
      </c>
    </row>
    <row r="128" spans="2:11" x14ac:dyDescent="0.35">
      <c r="B128" s="11"/>
      <c r="F128" s="11">
        <v>6514.3</v>
      </c>
      <c r="G128" s="15">
        <f t="shared" si="0"/>
        <v>6.5143000000000004</v>
      </c>
      <c r="H128">
        <f t="shared" si="1"/>
        <v>8.7817550394272157</v>
      </c>
      <c r="I128">
        <v>10182.4</v>
      </c>
      <c r="J128" s="15">
        <f t="shared" si="2"/>
        <v>10.182399999999999</v>
      </c>
      <c r="K128">
        <f t="shared" si="3"/>
        <v>9.2284160187034132</v>
      </c>
    </row>
    <row r="129" spans="2:11" x14ac:dyDescent="0.35">
      <c r="B129" s="11"/>
      <c r="F129" s="14">
        <v>1720.33</v>
      </c>
      <c r="G129" s="15">
        <f t="shared" si="0"/>
        <v>1.7203299999999999</v>
      </c>
      <c r="H129">
        <f t="shared" si="1"/>
        <v>7.4502714118697497</v>
      </c>
      <c r="I129">
        <v>6527.59</v>
      </c>
      <c r="J129" s="15">
        <f t="shared" si="2"/>
        <v>6.52759</v>
      </c>
      <c r="K129">
        <f t="shared" si="3"/>
        <v>8.7837930882989905</v>
      </c>
    </row>
    <row r="130" spans="2:11" x14ac:dyDescent="0.35">
      <c r="B130" s="11"/>
      <c r="F130" s="11">
        <v>12441.03</v>
      </c>
      <c r="G130" s="15">
        <f t="shared" si="0"/>
        <v>12.441030000000001</v>
      </c>
      <c r="H130">
        <f t="shared" si="1"/>
        <v>9.4287551602933046</v>
      </c>
      <c r="I130" s="6">
        <v>5117.8999999999996</v>
      </c>
      <c r="J130" s="15">
        <f t="shared" si="2"/>
        <v>5.1178999999999997</v>
      </c>
      <c r="K130">
        <f t="shared" si="3"/>
        <v>8.5404994776464722</v>
      </c>
    </row>
    <row r="131" spans="2:11" x14ac:dyDescent="0.35">
      <c r="B131" s="11"/>
      <c r="F131" s="11">
        <v>867.11</v>
      </c>
      <c r="G131" s="15">
        <f t="shared" si="0"/>
        <v>0.86711000000000005</v>
      </c>
      <c r="H131">
        <f t="shared" si="1"/>
        <v>6.7651658430118049</v>
      </c>
      <c r="I131">
        <v>28660.67</v>
      </c>
      <c r="J131" s="15">
        <f t="shared" si="2"/>
        <v>28.66067</v>
      </c>
      <c r="K131">
        <f t="shared" si="3"/>
        <v>10.26328107863857</v>
      </c>
    </row>
    <row r="132" spans="2:11" x14ac:dyDescent="0.35">
      <c r="B132" s="11"/>
      <c r="F132" s="11">
        <v>20181.36</v>
      </c>
      <c r="G132" s="15">
        <f t="shared" si="0"/>
        <v>20.181360000000002</v>
      </c>
      <c r="H132">
        <f t="shared" si="1"/>
        <v>9.9125146850956334</v>
      </c>
      <c r="I132">
        <v>556.76</v>
      </c>
      <c r="J132" s="15">
        <f t="shared" si="2"/>
        <v>0.55676000000000003</v>
      </c>
      <c r="K132">
        <f t="shared" si="3"/>
        <v>6.3221342673591998</v>
      </c>
    </row>
    <row r="133" spans="2:11" x14ac:dyDescent="0.35">
      <c r="B133" s="11"/>
      <c r="F133" s="11">
        <v>4699.38</v>
      </c>
      <c r="G133" s="15">
        <f t="shared" si="0"/>
        <v>4.6993799999999997</v>
      </c>
      <c r="H133">
        <f t="shared" si="1"/>
        <v>8.4551858641029973</v>
      </c>
      <c r="I133">
        <v>34139.050000000003</v>
      </c>
      <c r="J133" s="15">
        <f t="shared" si="2"/>
        <v>34.139050000000005</v>
      </c>
      <c r="K133">
        <f t="shared" si="3"/>
        <v>10.438197169364896</v>
      </c>
    </row>
    <row r="134" spans="2:11" x14ac:dyDescent="0.35">
      <c r="B134" s="11"/>
      <c r="F134" s="11">
        <v>21227.94</v>
      </c>
      <c r="G134" s="15">
        <f t="shared" si="0"/>
        <v>21.22794</v>
      </c>
      <c r="H134">
        <f t="shared" si="1"/>
        <v>9.9630735174881657</v>
      </c>
      <c r="I134">
        <v>6025.7</v>
      </c>
      <c r="J134" s="15">
        <f t="shared" si="2"/>
        <v>6.0256999999999996</v>
      </c>
      <c r="K134">
        <f t="shared" si="3"/>
        <v>8.7037889341827981</v>
      </c>
    </row>
    <row r="135" spans="2:11" x14ac:dyDescent="0.35">
      <c r="B135" s="11"/>
      <c r="F135" s="11">
        <v>11642.65</v>
      </c>
      <c r="G135" s="15">
        <f t="shared" si="0"/>
        <v>11.64265</v>
      </c>
      <c r="H135">
        <f t="shared" si="1"/>
        <v>9.3624303586043283</v>
      </c>
      <c r="I135">
        <v>32163.279999999999</v>
      </c>
      <c r="J135" s="15">
        <f t="shared" si="2"/>
        <v>32.16328</v>
      </c>
      <c r="K135">
        <f t="shared" si="3"/>
        <v>10.378580708142023</v>
      </c>
    </row>
    <row r="136" spans="2:11" x14ac:dyDescent="0.35">
      <c r="B136" s="11"/>
      <c r="F136" s="11">
        <v>19932.14</v>
      </c>
      <c r="G136" s="15">
        <f t="shared" si="0"/>
        <v>19.93214</v>
      </c>
      <c r="H136">
        <f t="shared" si="1"/>
        <v>9.9000887832578233</v>
      </c>
      <c r="I136">
        <v>12432.9</v>
      </c>
      <c r="J136" s="15">
        <f t="shared" si="2"/>
        <v>12.4329</v>
      </c>
      <c r="K136">
        <f t="shared" si="3"/>
        <v>9.4281014638095169</v>
      </c>
    </row>
    <row r="137" spans="2:11" x14ac:dyDescent="0.35">
      <c r="B137" s="11"/>
      <c r="F137" s="11">
        <v>2512.02</v>
      </c>
      <c r="G137" s="15">
        <f t="shared" si="0"/>
        <v>2.5120200000000001</v>
      </c>
      <c r="H137">
        <f t="shared" si="1"/>
        <v>7.8288424893398343</v>
      </c>
      <c r="I137">
        <v>35652.03</v>
      </c>
      <c r="J137" s="15">
        <f t="shared" si="2"/>
        <v>35.652029999999996</v>
      </c>
      <c r="K137">
        <f t="shared" si="3"/>
        <v>10.481561366717774</v>
      </c>
    </row>
    <row r="138" spans="2:11" x14ac:dyDescent="0.35">
      <c r="B138" s="11"/>
      <c r="F138" s="11">
        <v>3037.37</v>
      </c>
      <c r="G138" s="15">
        <f t="shared" si="0"/>
        <v>3.0373699999999997</v>
      </c>
      <c r="H138">
        <f t="shared" si="1"/>
        <v>8.0187472883790178</v>
      </c>
      <c r="I138">
        <v>3021.93</v>
      </c>
      <c r="J138" s="15">
        <f t="shared" si="2"/>
        <v>3.0219299999999998</v>
      </c>
      <c r="K138">
        <f t="shared" si="3"/>
        <v>8.0136509790965054</v>
      </c>
    </row>
    <row r="139" spans="2:11" x14ac:dyDescent="0.35">
      <c r="B139" s="11"/>
      <c r="F139" s="11">
        <v>2873.42</v>
      </c>
      <c r="G139" s="15">
        <f t="shared" si="0"/>
        <v>2.8734199999999999</v>
      </c>
      <c r="H139">
        <f t="shared" si="1"/>
        <v>7.9632582369477456</v>
      </c>
      <c r="I139">
        <v>1609.2</v>
      </c>
      <c r="J139" s="15">
        <f t="shared" si="2"/>
        <v>1.6092</v>
      </c>
      <c r="K139">
        <f t="shared" si="3"/>
        <v>7.3834924400756332</v>
      </c>
    </row>
    <row r="140" spans="2:11" x14ac:dyDescent="0.35">
      <c r="B140" s="11"/>
      <c r="F140" s="11">
        <v>1296.58</v>
      </c>
      <c r="G140" s="15">
        <f t="shared" si="0"/>
        <v>1.2965799999999998</v>
      </c>
      <c r="H140">
        <f t="shared" si="1"/>
        <v>7.1674853076643483</v>
      </c>
      <c r="I140">
        <v>2689.27</v>
      </c>
      <c r="J140" s="15">
        <f t="shared" si="2"/>
        <v>2.68927</v>
      </c>
      <c r="K140">
        <f t="shared" si="3"/>
        <v>7.8970250603022158</v>
      </c>
    </row>
    <row r="141" spans="2:11" x14ac:dyDescent="0.35">
      <c r="B141" s="11"/>
      <c r="F141" s="11">
        <v>2183.4299999999998</v>
      </c>
      <c r="G141" s="15">
        <f t="shared" si="0"/>
        <v>2.18343</v>
      </c>
      <c r="H141">
        <f t="shared" si="1"/>
        <v>7.6886523137902474</v>
      </c>
      <c r="I141">
        <v>1439.48</v>
      </c>
      <c r="J141" s="15">
        <f t="shared" si="2"/>
        <v>1.4394800000000001</v>
      </c>
      <c r="K141">
        <f t="shared" si="3"/>
        <v>7.2720372162426168</v>
      </c>
    </row>
    <row r="142" spans="2:11" x14ac:dyDescent="0.35">
      <c r="B142" s="11"/>
      <c r="F142" s="11">
        <v>13382.99</v>
      </c>
      <c r="G142" s="15">
        <f t="shared" si="0"/>
        <v>13.382989999999999</v>
      </c>
      <c r="H142">
        <f t="shared" si="1"/>
        <v>9.5017397765794769</v>
      </c>
      <c r="I142">
        <v>14749.67</v>
      </c>
      <c r="J142" s="15">
        <f t="shared" si="2"/>
        <v>14.74967</v>
      </c>
      <c r="K142">
        <f t="shared" si="3"/>
        <v>9.5989759886363331</v>
      </c>
    </row>
    <row r="143" spans="2:11" x14ac:dyDescent="0.35">
      <c r="B143" s="11"/>
      <c r="F143" s="11">
        <v>3075.97</v>
      </c>
      <c r="G143" s="15">
        <f t="shared" si="0"/>
        <v>3.0759699999999999</v>
      </c>
      <c r="H143">
        <f t="shared" si="1"/>
        <v>8.0313755776520974</v>
      </c>
      <c r="I143">
        <v>27688.66</v>
      </c>
      <c r="J143" s="15">
        <f t="shared" si="2"/>
        <v>27.688659999999999</v>
      </c>
      <c r="K143">
        <f t="shared" si="3"/>
        <v>10.2287782220724</v>
      </c>
    </row>
    <row r="144" spans="2:11" x14ac:dyDescent="0.35">
      <c r="B144" s="11"/>
      <c r="F144" s="11">
        <v>3467.19</v>
      </c>
      <c r="G144" s="15">
        <f t="shared" si="0"/>
        <v>3.46719</v>
      </c>
      <c r="H144">
        <f t="shared" si="1"/>
        <v>8.1510997466062687</v>
      </c>
      <c r="I144">
        <v>8773.67</v>
      </c>
      <c r="J144" s="15">
        <f t="shared" si="2"/>
        <v>8.7736699999999992</v>
      </c>
      <c r="K144">
        <f t="shared" si="3"/>
        <v>9.0795104698950677</v>
      </c>
    </row>
    <row r="145" spans="2:11" x14ac:dyDescent="0.35">
      <c r="B145" s="11"/>
      <c r="F145" s="11">
        <v>17807.05</v>
      </c>
      <c r="G145" s="15">
        <f t="shared" si="0"/>
        <v>17.80705</v>
      </c>
      <c r="H145">
        <f t="shared" si="1"/>
        <v>9.7873497252819117</v>
      </c>
      <c r="I145">
        <v>5164.54</v>
      </c>
      <c r="J145" s="15">
        <f t="shared" si="2"/>
        <v>5.1645399999999997</v>
      </c>
      <c r="K145">
        <f t="shared" si="3"/>
        <v>8.5495713166001579</v>
      </c>
    </row>
    <row r="146" spans="2:11" x14ac:dyDescent="0.35">
      <c r="B146" s="11"/>
      <c r="F146" s="11">
        <v>2590.44</v>
      </c>
      <c r="G146" s="15">
        <f t="shared" si="0"/>
        <v>2.5904400000000001</v>
      </c>
      <c r="H146">
        <f t="shared" si="1"/>
        <v>7.8595830244347864</v>
      </c>
      <c r="I146">
        <v>40811.129999999997</v>
      </c>
      <c r="J146" s="15">
        <f t="shared" si="2"/>
        <v>40.811129999999999</v>
      </c>
      <c r="K146">
        <f t="shared" si="3"/>
        <v>10.616710117308351</v>
      </c>
    </row>
    <row r="147" spans="2:11" x14ac:dyDescent="0.35">
      <c r="B147" s="11"/>
      <c r="F147" s="11">
        <v>1417.36</v>
      </c>
      <c r="G147" s="15">
        <f t="shared" si="0"/>
        <v>1.41736</v>
      </c>
      <c r="H147">
        <f t="shared" si="1"/>
        <v>7.256551265292182</v>
      </c>
      <c r="I147">
        <v>3255.82</v>
      </c>
      <c r="J147" s="15">
        <f t="shared" si="2"/>
        <v>3.2558200000000004</v>
      </c>
      <c r="K147">
        <f t="shared" si="3"/>
        <v>8.0881994430390112</v>
      </c>
    </row>
    <row r="148" spans="2:11" x14ac:dyDescent="0.35">
      <c r="B148" s="11"/>
      <c r="F148" s="11">
        <v>10873.82</v>
      </c>
      <c r="G148" s="15">
        <f t="shared" si="0"/>
        <v>10.87382</v>
      </c>
      <c r="H148">
        <f t="shared" si="1"/>
        <v>9.2941133443225841</v>
      </c>
      <c r="I148">
        <v>1517.02</v>
      </c>
      <c r="J148" s="15">
        <f t="shared" si="2"/>
        <v>1.51702</v>
      </c>
      <c r="K148">
        <f t="shared" si="3"/>
        <v>7.3245031631772477</v>
      </c>
    </row>
    <row r="149" spans="2:11" x14ac:dyDescent="0.35">
      <c r="B149" s="11"/>
      <c r="F149" s="11">
        <v>2595.16</v>
      </c>
      <c r="G149" s="15">
        <f t="shared" ref="G149:G212" si="4">F149/1000</f>
        <v>2.5951599999999999</v>
      </c>
      <c r="H149">
        <f t="shared" ref="H149:H212" si="5">LN(F149)</f>
        <v>7.8614034507320278</v>
      </c>
      <c r="I149">
        <v>18313.55</v>
      </c>
      <c r="J149" s="15">
        <f t="shared" si="2"/>
        <v>18.313549999999999</v>
      </c>
      <c r="K149">
        <f t="shared" si="3"/>
        <v>9.8153965019996292</v>
      </c>
    </row>
    <row r="150" spans="2:11" x14ac:dyDescent="0.35">
      <c r="B150" s="11"/>
      <c r="F150" s="11">
        <v>1030.92</v>
      </c>
      <c r="G150" s="15">
        <f t="shared" si="4"/>
        <v>1.0309200000000001</v>
      </c>
      <c r="H150">
        <f t="shared" si="5"/>
        <v>6.9382068864379658</v>
      </c>
      <c r="I150">
        <v>3984.73</v>
      </c>
      <c r="J150" s="15">
        <f t="shared" ref="J150:J213" si="6">I150/1000</f>
        <v>3.9847299999999999</v>
      </c>
      <c r="K150">
        <f t="shared" ref="K150:K213" si="7">LN(I150)</f>
        <v>8.2902248348511129</v>
      </c>
    </row>
    <row r="151" spans="2:11" x14ac:dyDescent="0.35">
      <c r="B151" s="11"/>
      <c r="F151" s="11">
        <v>13451.05</v>
      </c>
      <c r="G151" s="15">
        <f t="shared" si="4"/>
        <v>13.451049999999999</v>
      </c>
      <c r="H151">
        <f t="shared" si="5"/>
        <v>9.5068124488974206</v>
      </c>
      <c r="I151">
        <v>2426.77</v>
      </c>
      <c r="J151" s="15">
        <f t="shared" si="6"/>
        <v>2.4267699999999999</v>
      </c>
      <c r="K151">
        <f t="shared" si="7"/>
        <v>7.7943164340335986</v>
      </c>
    </row>
    <row r="152" spans="2:11" x14ac:dyDescent="0.35">
      <c r="B152" s="11"/>
      <c r="F152" s="11">
        <v>3194.15</v>
      </c>
      <c r="G152" s="15">
        <f t="shared" si="4"/>
        <v>3.19415</v>
      </c>
      <c r="H152">
        <f t="shared" si="5"/>
        <v>8.0690762907279581</v>
      </c>
      <c r="I152">
        <v>40741.15</v>
      </c>
      <c r="J152" s="15">
        <f t="shared" si="6"/>
        <v>40.741150000000005</v>
      </c>
      <c r="K152">
        <f t="shared" si="7"/>
        <v>10.614993917168361</v>
      </c>
    </row>
    <row r="153" spans="2:11" x14ac:dyDescent="0.35">
      <c r="B153" s="11"/>
      <c r="F153" s="11">
        <v>4569.1499999999996</v>
      </c>
      <c r="G153" s="15">
        <f t="shared" si="4"/>
        <v>4.5691499999999996</v>
      </c>
      <c r="H153">
        <f t="shared" si="5"/>
        <v>8.4270824709652867</v>
      </c>
      <c r="I153">
        <v>11895.35</v>
      </c>
      <c r="J153" s="15">
        <f t="shared" si="6"/>
        <v>11.895350000000001</v>
      </c>
      <c r="K153">
        <f t="shared" si="7"/>
        <v>9.3839028464319618</v>
      </c>
    </row>
    <row r="154" spans="2:11" x14ac:dyDescent="0.35">
      <c r="B154" s="11"/>
      <c r="F154" s="11">
        <v>27402.44</v>
      </c>
      <c r="G154" s="15">
        <f t="shared" si="4"/>
        <v>27.402439999999999</v>
      </c>
      <c r="H154">
        <f t="shared" si="5"/>
        <v>10.218387339506238</v>
      </c>
      <c r="I154">
        <v>4455.7700000000004</v>
      </c>
      <c r="J154" s="15">
        <f t="shared" si="6"/>
        <v>4.4557700000000002</v>
      </c>
      <c r="K154">
        <f t="shared" si="7"/>
        <v>8.4019551644760568</v>
      </c>
    </row>
    <row r="155" spans="2:11" x14ac:dyDescent="0.35">
      <c r="B155" s="11"/>
      <c r="F155" s="11">
        <v>17717.88</v>
      </c>
      <c r="G155" s="15">
        <f t="shared" si="4"/>
        <v>17.717880000000001</v>
      </c>
      <c r="H155">
        <f t="shared" si="5"/>
        <v>9.7823295781755917</v>
      </c>
      <c r="I155">
        <v>40737.360000000001</v>
      </c>
      <c r="J155" s="15">
        <f t="shared" si="6"/>
        <v>40.737360000000002</v>
      </c>
      <c r="K155">
        <f t="shared" si="7"/>
        <v>10.614900886502907</v>
      </c>
    </row>
    <row r="156" spans="2:11" x14ac:dyDescent="0.35">
      <c r="B156" s="11"/>
      <c r="F156" s="11">
        <v>19490.41</v>
      </c>
      <c r="G156" s="15">
        <f t="shared" si="4"/>
        <v>19.490410000000001</v>
      </c>
      <c r="H156">
        <f t="shared" si="5"/>
        <v>9.877677828709281</v>
      </c>
      <c r="I156">
        <v>30144.31</v>
      </c>
      <c r="J156" s="15">
        <f t="shared" si="6"/>
        <v>30.144310000000001</v>
      </c>
      <c r="K156">
        <f t="shared" si="7"/>
        <v>10.313751461293487</v>
      </c>
    </row>
    <row r="157" spans="2:11" x14ac:dyDescent="0.35">
      <c r="B157" s="11"/>
      <c r="F157" s="11">
        <v>4103.1000000000004</v>
      </c>
      <c r="G157" s="15">
        <f t="shared" si="4"/>
        <v>4.1031000000000004</v>
      </c>
      <c r="H157">
        <f t="shared" si="5"/>
        <v>8.3194980645556154</v>
      </c>
      <c r="I157">
        <v>32611.33</v>
      </c>
      <c r="J157" s="15">
        <f t="shared" si="6"/>
        <v>32.611330000000002</v>
      </c>
      <c r="K157">
        <f t="shared" si="7"/>
        <v>10.392415052986943</v>
      </c>
    </row>
    <row r="158" spans="2:11" x14ac:dyDescent="0.35">
      <c r="B158" s="11"/>
      <c r="F158" s="11">
        <v>4341.1499999999996</v>
      </c>
      <c r="G158" s="15">
        <f t="shared" si="4"/>
        <v>4.3411499999999998</v>
      </c>
      <c r="H158">
        <f t="shared" si="5"/>
        <v>8.3758945689527824</v>
      </c>
      <c r="I158">
        <v>6405.19</v>
      </c>
      <c r="J158" s="15">
        <f t="shared" si="6"/>
        <v>6.4051899999999993</v>
      </c>
      <c r="K158">
        <f t="shared" si="7"/>
        <v>8.7648638782156034</v>
      </c>
    </row>
    <row r="159" spans="2:11" x14ac:dyDescent="0.35">
      <c r="B159" s="11"/>
      <c r="F159" s="11">
        <v>18071.599999999999</v>
      </c>
      <c r="G159" s="15">
        <f t="shared" si="4"/>
        <v>18.0716</v>
      </c>
      <c r="H159">
        <f t="shared" si="5"/>
        <v>9.8020969242154123</v>
      </c>
      <c r="I159">
        <v>4566.18</v>
      </c>
      <c r="J159" s="15">
        <f t="shared" si="6"/>
        <v>4.5661800000000001</v>
      </c>
      <c r="K159">
        <f t="shared" si="7"/>
        <v>8.4264322481261242</v>
      </c>
    </row>
    <row r="160" spans="2:11" x14ac:dyDescent="0.35">
      <c r="B160" s="11"/>
      <c r="F160" s="11">
        <v>2071.9299999999998</v>
      </c>
      <c r="G160" s="15">
        <f t="shared" si="4"/>
        <v>2.07193</v>
      </c>
      <c r="H160">
        <f t="shared" si="5"/>
        <v>7.6362358190249049</v>
      </c>
      <c r="I160">
        <v>34938.07</v>
      </c>
      <c r="J160" s="15">
        <f t="shared" si="6"/>
        <v>34.938069999999996</v>
      </c>
      <c r="K160">
        <f t="shared" si="7"/>
        <v>10.461332344612313</v>
      </c>
    </row>
    <row r="161" spans="2:11" x14ac:dyDescent="0.35">
      <c r="B161" s="11"/>
      <c r="F161" s="11">
        <v>817.07</v>
      </c>
      <c r="G161" s="15">
        <f t="shared" si="4"/>
        <v>0.81707000000000007</v>
      </c>
      <c r="H161">
        <f t="shared" si="5"/>
        <v>6.7057247705043057</v>
      </c>
      <c r="I161">
        <v>1811.53</v>
      </c>
      <c r="J161" s="15">
        <f t="shared" si="6"/>
        <v>1.8115299999999999</v>
      </c>
      <c r="K161">
        <f t="shared" si="7"/>
        <v>7.5019270710591668</v>
      </c>
    </row>
    <row r="162" spans="2:11" x14ac:dyDescent="0.35">
      <c r="B162" s="11"/>
      <c r="F162" s="11">
        <v>7183.27</v>
      </c>
      <c r="G162" s="15">
        <f t="shared" si="4"/>
        <v>7.1832700000000003</v>
      </c>
      <c r="H162">
        <f t="shared" si="5"/>
        <v>8.8795099901195798</v>
      </c>
      <c r="I162">
        <v>1731.9</v>
      </c>
      <c r="J162" s="15">
        <f t="shared" si="6"/>
        <v>1.7319</v>
      </c>
      <c r="K162">
        <f t="shared" si="7"/>
        <v>7.4569743507349973</v>
      </c>
    </row>
    <row r="163" spans="2:11" x14ac:dyDescent="0.35">
      <c r="B163" s="11"/>
      <c r="F163" s="11">
        <v>6331.12</v>
      </c>
      <c r="G163" s="15">
        <f t="shared" si="4"/>
        <v>6.3311200000000003</v>
      </c>
      <c r="H163">
        <f t="shared" si="5"/>
        <v>8.7532324347160984</v>
      </c>
      <c r="I163">
        <v>15381.29</v>
      </c>
      <c r="J163" s="15">
        <f t="shared" si="6"/>
        <v>15.381290000000002</v>
      </c>
      <c r="K163">
        <f t="shared" si="7"/>
        <v>9.6409071147048593</v>
      </c>
    </row>
    <row r="164" spans="2:11" x14ac:dyDescent="0.35">
      <c r="B164" s="11"/>
      <c r="F164" s="11">
        <v>38706.1</v>
      </c>
      <c r="G164" s="15">
        <f t="shared" si="4"/>
        <v>38.706099999999999</v>
      </c>
      <c r="H164">
        <f t="shared" si="5"/>
        <v>10.563752489335732</v>
      </c>
      <c r="I164">
        <v>26418.76</v>
      </c>
      <c r="J164" s="15">
        <f t="shared" si="6"/>
        <v>26.418759999999999</v>
      </c>
      <c r="K164">
        <f t="shared" si="7"/>
        <v>10.181829642834073</v>
      </c>
    </row>
    <row r="165" spans="2:11" x14ac:dyDescent="0.35">
      <c r="B165" s="11"/>
      <c r="F165" s="11">
        <v>946.75</v>
      </c>
      <c r="G165" s="15">
        <f t="shared" si="4"/>
        <v>0.94674999999999998</v>
      </c>
      <c r="H165">
        <f t="shared" si="5"/>
        <v>6.8530350667819038</v>
      </c>
      <c r="I165">
        <v>50362.33</v>
      </c>
      <c r="J165" s="15">
        <f t="shared" si="6"/>
        <v>50.36233</v>
      </c>
      <c r="K165">
        <f t="shared" si="7"/>
        <v>10.82699875396648</v>
      </c>
    </row>
    <row r="166" spans="2:11" x14ac:dyDescent="0.35">
      <c r="B166" s="11"/>
      <c r="F166" s="11">
        <v>5422.9</v>
      </c>
      <c r="G166" s="15">
        <f t="shared" si="4"/>
        <v>5.4228999999999994</v>
      </c>
      <c r="H166">
        <f t="shared" si="5"/>
        <v>8.5983860066931701</v>
      </c>
      <c r="I166">
        <v>2245.62</v>
      </c>
      <c r="J166" s="15">
        <f t="shared" si="6"/>
        <v>2.2456199999999997</v>
      </c>
      <c r="K166">
        <f t="shared" si="7"/>
        <v>7.716736931313676</v>
      </c>
    </row>
    <row r="167" spans="2:11" x14ac:dyDescent="0.35">
      <c r="B167" s="11"/>
      <c r="F167" s="11">
        <v>1492.02</v>
      </c>
      <c r="G167" s="15">
        <f t="shared" si="4"/>
        <v>1.4920199999999999</v>
      </c>
      <c r="H167">
        <f t="shared" si="5"/>
        <v>7.3078861854995996</v>
      </c>
      <c r="I167">
        <v>11222.89</v>
      </c>
      <c r="J167" s="15">
        <f t="shared" si="6"/>
        <v>11.22289</v>
      </c>
      <c r="K167">
        <f t="shared" si="7"/>
        <v>9.3257107216673223</v>
      </c>
    </row>
    <row r="168" spans="2:11" x14ac:dyDescent="0.35">
      <c r="B168" s="11"/>
      <c r="F168" s="11">
        <v>5509.21</v>
      </c>
      <c r="G168" s="15">
        <f t="shared" si="4"/>
        <v>5.5092100000000004</v>
      </c>
      <c r="H168">
        <f t="shared" si="5"/>
        <v>8.6141765161871042</v>
      </c>
      <c r="I168">
        <v>611.98</v>
      </c>
      <c r="J168" s="15">
        <f t="shared" si="6"/>
        <v>0.61197999999999997</v>
      </c>
      <c r="K168">
        <f t="shared" si="7"/>
        <v>6.4166996022397695</v>
      </c>
    </row>
    <row r="169" spans="2:11" x14ac:dyDescent="0.35">
      <c r="B169" s="11"/>
      <c r="F169" s="11">
        <v>2392.29</v>
      </c>
      <c r="G169" s="15">
        <f t="shared" si="4"/>
        <v>2.39229</v>
      </c>
      <c r="H169">
        <f t="shared" si="5"/>
        <v>7.7800063451800501</v>
      </c>
      <c r="I169">
        <v>9774.89</v>
      </c>
      <c r="J169" s="15">
        <f t="shared" si="6"/>
        <v>9.7748899999999992</v>
      </c>
      <c r="K169">
        <f t="shared" si="7"/>
        <v>9.187572131593317</v>
      </c>
    </row>
    <row r="170" spans="2:11" x14ac:dyDescent="0.35">
      <c r="B170" s="11"/>
      <c r="F170" s="11">
        <v>1229.18</v>
      </c>
      <c r="G170" s="15">
        <f t="shared" si="4"/>
        <v>1.2291800000000002</v>
      </c>
      <c r="H170">
        <f t="shared" si="5"/>
        <v>7.1141025593787592</v>
      </c>
      <c r="I170">
        <v>5006.6499999999996</v>
      </c>
      <c r="J170" s="15">
        <f t="shared" si="6"/>
        <v>5.0066499999999996</v>
      </c>
      <c r="K170">
        <f t="shared" si="7"/>
        <v>8.5185223077496683</v>
      </c>
    </row>
    <row r="171" spans="2:11" x14ac:dyDescent="0.35">
      <c r="B171" s="11"/>
      <c r="F171" s="11">
        <v>29561.21</v>
      </c>
      <c r="G171" s="15">
        <f t="shared" si="4"/>
        <v>29.561209999999999</v>
      </c>
      <c r="H171">
        <f t="shared" si="5"/>
        <v>10.294218307918559</v>
      </c>
      <c r="I171">
        <v>2113.8000000000002</v>
      </c>
      <c r="J171" s="15">
        <f t="shared" si="6"/>
        <v>2.1138000000000003</v>
      </c>
      <c r="K171">
        <f t="shared" si="7"/>
        <v>7.6562425545752468</v>
      </c>
    </row>
    <row r="172" spans="2:11" x14ac:dyDescent="0.35">
      <c r="B172" s="11"/>
      <c r="F172" s="11">
        <v>3063.16</v>
      </c>
      <c r="G172" s="15">
        <f t="shared" si="4"/>
        <v>3.0631599999999999</v>
      </c>
      <c r="H172">
        <f t="shared" si="5"/>
        <v>8.0272023418380751</v>
      </c>
      <c r="I172">
        <v>70089.78</v>
      </c>
      <c r="J172" s="15">
        <f t="shared" si="6"/>
        <v>70.089780000000005</v>
      </c>
      <c r="K172">
        <f t="shared" si="7"/>
        <v>11.157532270667929</v>
      </c>
    </row>
    <row r="173" spans="2:11" x14ac:dyDescent="0.35">
      <c r="B173" s="11"/>
      <c r="F173" s="11">
        <v>1347.01</v>
      </c>
      <c r="G173" s="15">
        <f t="shared" si="4"/>
        <v>1.34701</v>
      </c>
      <c r="H173">
        <f t="shared" si="5"/>
        <v>7.2056426002877814</v>
      </c>
      <c r="I173">
        <v>4489.9799999999996</v>
      </c>
      <c r="J173" s="15">
        <f t="shared" si="6"/>
        <v>4.4899799999999992</v>
      </c>
      <c r="K173">
        <f t="shared" si="7"/>
        <v>8.4096035263833944</v>
      </c>
    </row>
    <row r="174" spans="2:11" x14ac:dyDescent="0.35">
      <c r="B174" s="11"/>
      <c r="F174" s="11">
        <v>3070.12</v>
      </c>
      <c r="G174" s="15">
        <f t="shared" si="4"/>
        <v>3.0701199999999997</v>
      </c>
      <c r="H174">
        <f t="shared" si="5"/>
        <v>8.0294719277652113</v>
      </c>
      <c r="I174">
        <v>1170.9000000000001</v>
      </c>
      <c r="J174" s="15">
        <f t="shared" si="6"/>
        <v>1.1709000000000001</v>
      </c>
      <c r="K174">
        <f t="shared" si="7"/>
        <v>7.065527962854679</v>
      </c>
    </row>
    <row r="175" spans="2:11" x14ac:dyDescent="0.35">
      <c r="B175" s="11"/>
      <c r="F175" s="11">
        <v>11991.74</v>
      </c>
      <c r="G175" s="15">
        <f t="shared" si="4"/>
        <v>11.99174</v>
      </c>
      <c r="H175">
        <f t="shared" si="5"/>
        <v>9.3919733584266467</v>
      </c>
      <c r="I175">
        <v>10355.52</v>
      </c>
      <c r="J175" s="15">
        <f t="shared" si="6"/>
        <v>10.35552</v>
      </c>
      <c r="K175">
        <f t="shared" si="7"/>
        <v>9.245274989855174</v>
      </c>
    </row>
    <row r="176" spans="2:11" x14ac:dyDescent="0.35">
      <c r="B176" s="11"/>
      <c r="F176" s="11">
        <v>695.6</v>
      </c>
      <c r="G176" s="15">
        <f t="shared" si="4"/>
        <v>0.6956</v>
      </c>
      <c r="H176">
        <f t="shared" si="5"/>
        <v>6.5447747824801281</v>
      </c>
      <c r="I176">
        <v>13468.67</v>
      </c>
      <c r="J176" s="15">
        <f t="shared" si="6"/>
        <v>13.468669999999999</v>
      </c>
      <c r="K176">
        <f t="shared" si="7"/>
        <v>9.5081215265933441</v>
      </c>
    </row>
    <row r="177" spans="2:11" x14ac:dyDescent="0.35">
      <c r="B177" s="11"/>
      <c r="F177" s="11">
        <v>10080.74</v>
      </c>
      <c r="G177" s="15">
        <f t="shared" si="4"/>
        <v>10.08074</v>
      </c>
      <c r="H177">
        <f t="shared" si="5"/>
        <v>9.2183819516291923</v>
      </c>
      <c r="I177">
        <v>1279.95</v>
      </c>
      <c r="J177" s="15">
        <f t="shared" si="6"/>
        <v>1.2799500000000001</v>
      </c>
      <c r="K177">
        <f t="shared" si="7"/>
        <v>7.1545762936507034</v>
      </c>
    </row>
    <row r="178" spans="2:11" x14ac:dyDescent="0.35">
      <c r="B178" s="11"/>
      <c r="F178" s="11">
        <v>1006.68</v>
      </c>
      <c r="G178" s="15">
        <f t="shared" si="4"/>
        <v>1.00668</v>
      </c>
      <c r="H178">
        <f t="shared" si="5"/>
        <v>6.9144130666462038</v>
      </c>
      <c r="I178">
        <v>23558.91</v>
      </c>
      <c r="J178" s="15">
        <f t="shared" si="6"/>
        <v>23.558910000000001</v>
      </c>
      <c r="K178">
        <f t="shared" si="7"/>
        <v>10.067259371839583</v>
      </c>
    </row>
    <row r="179" spans="2:11" x14ac:dyDescent="0.35">
      <c r="B179" s="11"/>
      <c r="F179" s="11">
        <v>2188.11</v>
      </c>
      <c r="G179" s="15">
        <f t="shared" si="4"/>
        <v>2.18811</v>
      </c>
      <c r="H179">
        <f t="shared" si="5"/>
        <v>7.6907934365011998</v>
      </c>
      <c r="I179">
        <v>1620.63</v>
      </c>
      <c r="J179" s="15">
        <f t="shared" si="6"/>
        <v>1.62063</v>
      </c>
      <c r="K179">
        <f t="shared" si="7"/>
        <v>7.3905702415176338</v>
      </c>
    </row>
    <row r="180" spans="2:11" x14ac:dyDescent="0.35">
      <c r="B180" s="11"/>
      <c r="F180" s="11">
        <v>624.4</v>
      </c>
      <c r="G180" s="15">
        <f t="shared" si="4"/>
        <v>0.62439999999999996</v>
      </c>
      <c r="H180">
        <f t="shared" si="5"/>
        <v>6.4367911886412772</v>
      </c>
      <c r="I180">
        <v>4212.21</v>
      </c>
      <c r="J180" s="15">
        <f t="shared" si="6"/>
        <v>4.2122099999999998</v>
      </c>
      <c r="K180">
        <f t="shared" si="7"/>
        <v>8.345742729560877</v>
      </c>
    </row>
    <row r="181" spans="2:11" x14ac:dyDescent="0.35">
      <c r="B181" s="11"/>
      <c r="F181" s="11">
        <v>2011.95</v>
      </c>
      <c r="G181" s="15">
        <f t="shared" si="4"/>
        <v>2.0119500000000001</v>
      </c>
      <c r="H181">
        <f t="shared" si="5"/>
        <v>7.6068596800162087</v>
      </c>
      <c r="I181">
        <v>870.62</v>
      </c>
      <c r="J181" s="15">
        <f t="shared" si="6"/>
        <v>0.87061999999999995</v>
      </c>
      <c r="K181">
        <f t="shared" si="7"/>
        <v>6.7692056015168616</v>
      </c>
    </row>
    <row r="182" spans="2:11" x14ac:dyDescent="0.35">
      <c r="B182" s="11"/>
      <c r="F182" s="11">
        <v>12849.68</v>
      </c>
      <c r="G182" s="15">
        <f t="shared" si="4"/>
        <v>12.849680000000001</v>
      </c>
      <c r="H182">
        <f t="shared" si="5"/>
        <v>9.4610741872895527</v>
      </c>
      <c r="I182">
        <v>2160.34</v>
      </c>
      <c r="J182" s="15">
        <f t="shared" si="6"/>
        <v>2.1603400000000001</v>
      </c>
      <c r="K182">
        <f t="shared" si="7"/>
        <v>7.6780208956983724</v>
      </c>
    </row>
    <row r="183" spans="2:11" x14ac:dyDescent="0.35">
      <c r="B183" s="11"/>
      <c r="F183" s="11">
        <v>6219.29</v>
      </c>
      <c r="G183" s="15">
        <f t="shared" si="4"/>
        <v>6.21929</v>
      </c>
      <c r="H183">
        <f t="shared" si="5"/>
        <v>8.7354110313078888</v>
      </c>
      <c r="I183">
        <v>18474.5</v>
      </c>
      <c r="J183" s="15">
        <f t="shared" si="6"/>
        <v>18.474499999999999</v>
      </c>
      <c r="K183">
        <f t="shared" si="7"/>
        <v>9.8241466818507188</v>
      </c>
    </row>
    <row r="184" spans="2:11" x14ac:dyDescent="0.35">
      <c r="B184" s="11"/>
      <c r="F184" s="11">
        <v>1355.44</v>
      </c>
      <c r="G184" s="15">
        <f t="shared" si="4"/>
        <v>1.35544</v>
      </c>
      <c r="H184">
        <f t="shared" si="5"/>
        <v>7.2118814038498504</v>
      </c>
      <c r="I184">
        <v>14104.37</v>
      </c>
      <c r="J184" s="15">
        <f t="shared" si="6"/>
        <v>14.104370000000001</v>
      </c>
      <c r="K184">
        <f t="shared" si="7"/>
        <v>9.5542399574261783</v>
      </c>
    </row>
    <row r="185" spans="2:11" x14ac:dyDescent="0.35">
      <c r="B185" s="11"/>
      <c r="F185" s="11">
        <v>7696.18</v>
      </c>
      <c r="G185" s="15">
        <f t="shared" si="4"/>
        <v>7.69618</v>
      </c>
      <c r="H185">
        <f t="shared" si="5"/>
        <v>8.9484793808454182</v>
      </c>
      <c r="I185">
        <v>981.67</v>
      </c>
      <c r="J185" s="15">
        <f t="shared" si="6"/>
        <v>0.98166999999999993</v>
      </c>
      <c r="K185">
        <f t="shared" si="7"/>
        <v>6.8892552029975507</v>
      </c>
    </row>
    <row r="186" spans="2:11" x14ac:dyDescent="0.35">
      <c r="B186" s="11"/>
      <c r="F186" s="11">
        <v>5727.23</v>
      </c>
      <c r="G186" s="15">
        <f t="shared" si="4"/>
        <v>5.7272299999999996</v>
      </c>
      <c r="H186">
        <f t="shared" si="5"/>
        <v>8.6529872722300105</v>
      </c>
      <c r="I186">
        <v>15326.82</v>
      </c>
      <c r="J186" s="15">
        <f t="shared" si="6"/>
        <v>15.32682</v>
      </c>
      <c r="K186">
        <f t="shared" si="7"/>
        <v>9.6373595139487378</v>
      </c>
    </row>
    <row r="187" spans="2:11" x14ac:dyDescent="0.35">
      <c r="B187" s="11"/>
      <c r="F187" s="11">
        <v>870.59</v>
      </c>
      <c r="G187" s="15">
        <f t="shared" si="4"/>
        <v>0.87059000000000009</v>
      </c>
      <c r="H187">
        <f t="shared" si="5"/>
        <v>6.7691711427209631</v>
      </c>
      <c r="I187">
        <v>6158.27</v>
      </c>
      <c r="J187" s="15">
        <f t="shared" si="6"/>
        <v>6.1582700000000008</v>
      </c>
      <c r="K187">
        <f t="shared" si="7"/>
        <v>8.7255511729276165</v>
      </c>
    </row>
    <row r="188" spans="2:11" x14ac:dyDescent="0.35">
      <c r="B188" s="11"/>
      <c r="F188" s="11">
        <v>4450.32</v>
      </c>
      <c r="G188" s="15">
        <f t="shared" si="4"/>
        <v>4.4503199999999996</v>
      </c>
      <c r="H188">
        <f t="shared" si="5"/>
        <v>8.4007312826872376</v>
      </c>
      <c r="I188">
        <v>690.31</v>
      </c>
      <c r="J188" s="15">
        <f t="shared" si="6"/>
        <v>0.69030999999999998</v>
      </c>
      <c r="K188">
        <f t="shared" si="7"/>
        <v>6.5371407720596668</v>
      </c>
    </row>
    <row r="189" spans="2:11" x14ac:dyDescent="0.35">
      <c r="B189" s="11"/>
      <c r="F189" s="11">
        <v>4698.6000000000004</v>
      </c>
      <c r="G189" s="15">
        <f t="shared" si="4"/>
        <v>4.6986000000000008</v>
      </c>
      <c r="H189">
        <f t="shared" si="5"/>
        <v>8.4550198709849465</v>
      </c>
      <c r="I189">
        <v>2270.75</v>
      </c>
      <c r="J189" s="15">
        <f t="shared" si="6"/>
        <v>2.27075</v>
      </c>
      <c r="K189">
        <f t="shared" si="7"/>
        <v>7.7278654523823231</v>
      </c>
    </row>
    <row r="190" spans="2:11" x14ac:dyDescent="0.35">
      <c r="B190" s="11"/>
      <c r="F190" s="11">
        <v>22641.09</v>
      </c>
      <c r="G190" s="15">
        <f t="shared" si="4"/>
        <v>22.641089999999998</v>
      </c>
      <c r="H190">
        <f t="shared" si="5"/>
        <v>10.027521676034517</v>
      </c>
      <c r="I190">
        <v>3492.61</v>
      </c>
      <c r="J190" s="15">
        <f t="shared" si="6"/>
        <v>3.49261</v>
      </c>
      <c r="K190">
        <f t="shared" si="7"/>
        <v>8.1584045866981185</v>
      </c>
    </row>
    <row r="191" spans="2:11" x14ac:dyDescent="0.35">
      <c r="B191" s="11"/>
      <c r="F191" s="11">
        <v>25805.3</v>
      </c>
      <c r="G191" s="15">
        <f t="shared" si="4"/>
        <v>25.805299999999999</v>
      </c>
      <c r="H191">
        <f t="shared" si="5"/>
        <v>10.158335176169194</v>
      </c>
      <c r="I191">
        <v>39410.99</v>
      </c>
      <c r="J191" s="15">
        <f t="shared" si="6"/>
        <v>39.410989999999998</v>
      </c>
      <c r="K191">
        <f t="shared" si="7"/>
        <v>10.581799990401318</v>
      </c>
    </row>
    <row r="192" spans="2:11" x14ac:dyDescent="0.35">
      <c r="B192" s="11"/>
      <c r="F192" s="11">
        <v>826.21</v>
      </c>
      <c r="G192" s="15">
        <f t="shared" si="4"/>
        <v>0.82621</v>
      </c>
      <c r="H192">
        <f t="shared" si="5"/>
        <v>6.7168489784962908</v>
      </c>
      <c r="I192">
        <v>44879.11</v>
      </c>
      <c r="J192" s="15">
        <f t="shared" si="6"/>
        <v>44.879109999999997</v>
      </c>
      <c r="K192">
        <f t="shared" si="7"/>
        <v>10.711727709340412</v>
      </c>
    </row>
    <row r="193" spans="2:11" x14ac:dyDescent="0.35">
      <c r="B193" s="11"/>
      <c r="F193" s="11">
        <v>18610.2</v>
      </c>
      <c r="G193" s="15">
        <f t="shared" si="4"/>
        <v>18.610199999999999</v>
      </c>
      <c r="H193">
        <f t="shared" si="5"/>
        <v>9.8314650964888113</v>
      </c>
      <c r="I193">
        <v>1269.5</v>
      </c>
      <c r="J193" s="15">
        <f t="shared" si="6"/>
        <v>1.2695000000000001</v>
      </c>
      <c r="K193">
        <f t="shared" si="7"/>
        <v>7.1463784011447329</v>
      </c>
    </row>
    <row r="194" spans="2:11" x14ac:dyDescent="0.35">
      <c r="B194" s="11"/>
      <c r="F194" s="11">
        <v>13063.71</v>
      </c>
      <c r="G194" s="15">
        <f t="shared" si="4"/>
        <v>13.063709999999999</v>
      </c>
      <c r="H194">
        <f t="shared" si="5"/>
        <v>9.4775934359960736</v>
      </c>
      <c r="I194">
        <v>29239.82</v>
      </c>
      <c r="J194" s="15">
        <f t="shared" si="6"/>
        <v>29.239819999999998</v>
      </c>
      <c r="K194">
        <f t="shared" si="7"/>
        <v>10.283286757894015</v>
      </c>
    </row>
    <row r="195" spans="2:11" x14ac:dyDescent="0.35">
      <c r="B195" s="11"/>
      <c r="F195" s="11">
        <v>2198.67</v>
      </c>
      <c r="G195" s="15">
        <f t="shared" si="4"/>
        <v>2.1986699999999999</v>
      </c>
      <c r="H195">
        <f t="shared" si="5"/>
        <v>7.6956079110805762</v>
      </c>
      <c r="I195">
        <v>25767.62</v>
      </c>
      <c r="J195" s="15">
        <f t="shared" si="6"/>
        <v>25.767619999999997</v>
      </c>
      <c r="K195">
        <f t="shared" si="7"/>
        <v>10.156873943929307</v>
      </c>
    </row>
    <row r="196" spans="2:11" x14ac:dyDescent="0.35">
      <c r="B196" s="11"/>
      <c r="F196" s="11">
        <v>6353.94</v>
      </c>
      <c r="G196" s="15">
        <f t="shared" si="4"/>
        <v>6.3539399999999997</v>
      </c>
      <c r="H196">
        <f t="shared" si="5"/>
        <v>8.7568303719142442</v>
      </c>
      <c r="I196">
        <v>2978.9</v>
      </c>
      <c r="J196" s="15">
        <f t="shared" si="6"/>
        <v>2.9788999999999999</v>
      </c>
      <c r="K196">
        <f t="shared" si="7"/>
        <v>7.99930938383834</v>
      </c>
    </row>
    <row r="197" spans="2:11" x14ac:dyDescent="0.35">
      <c r="B197" s="11"/>
      <c r="F197" s="11">
        <v>3856.5</v>
      </c>
      <c r="G197" s="15">
        <f t="shared" si="4"/>
        <v>3.8565</v>
      </c>
      <c r="H197">
        <f t="shared" si="5"/>
        <v>8.2575153153740537</v>
      </c>
      <c r="I197">
        <v>10706.26</v>
      </c>
      <c r="J197" s="15">
        <f t="shared" si="6"/>
        <v>10.70626</v>
      </c>
      <c r="K197">
        <f t="shared" si="7"/>
        <v>9.278583896105852</v>
      </c>
    </row>
    <row r="198" spans="2:11" x14ac:dyDescent="0.35">
      <c r="B198" s="11"/>
      <c r="F198" s="11">
        <v>2897.69</v>
      </c>
      <c r="G198" s="15">
        <f t="shared" si="4"/>
        <v>2.8976899999999999</v>
      </c>
      <c r="H198">
        <f t="shared" si="5"/>
        <v>7.9716691468345333</v>
      </c>
      <c r="I198">
        <v>5877.53</v>
      </c>
      <c r="J198" s="15">
        <f t="shared" si="6"/>
        <v>5.8775300000000001</v>
      </c>
      <c r="K198">
        <f t="shared" si="7"/>
        <v>8.6788918846121721</v>
      </c>
    </row>
    <row r="199" spans="2:11" x14ac:dyDescent="0.35">
      <c r="B199" s="11"/>
      <c r="F199" s="11">
        <v>6754.48</v>
      </c>
      <c r="G199" s="15">
        <f t="shared" si="4"/>
        <v>6.7544799999999992</v>
      </c>
      <c r="H199">
        <f t="shared" si="5"/>
        <v>8.8179612674163828</v>
      </c>
      <c r="I199">
        <v>4101.41</v>
      </c>
      <c r="J199" s="15">
        <f t="shared" si="6"/>
        <v>4.1014099999999996</v>
      </c>
      <c r="K199">
        <f t="shared" si="7"/>
        <v>8.3190860960105333</v>
      </c>
    </row>
    <row r="200" spans="2:11" x14ac:dyDescent="0.35">
      <c r="B200" s="11"/>
      <c r="F200" s="11">
        <v>9298.77</v>
      </c>
      <c r="G200" s="15">
        <f t="shared" si="4"/>
        <v>9.2987700000000011</v>
      </c>
      <c r="H200">
        <f t="shared" si="5"/>
        <v>9.137637412329962</v>
      </c>
      <c r="I200">
        <v>15017.36</v>
      </c>
      <c r="J200" s="15">
        <f t="shared" si="6"/>
        <v>15.01736</v>
      </c>
      <c r="K200">
        <f t="shared" si="7"/>
        <v>9.616962144223729</v>
      </c>
    </row>
    <row r="201" spans="2:11" x14ac:dyDescent="0.35">
      <c r="B201" s="11"/>
      <c r="F201" s="11">
        <v>3350.41</v>
      </c>
      <c r="G201" s="15">
        <f t="shared" si="4"/>
        <v>3.3504099999999997</v>
      </c>
      <c r="H201">
        <f t="shared" si="5"/>
        <v>8.1168380053900062</v>
      </c>
      <c r="I201">
        <v>23868.33</v>
      </c>
      <c r="J201" s="15">
        <f t="shared" si="6"/>
        <v>23.86833</v>
      </c>
      <c r="K201">
        <f t="shared" si="7"/>
        <v>10.080307754589631</v>
      </c>
    </row>
    <row r="202" spans="2:11" x14ac:dyDescent="0.35">
      <c r="B202" s="11"/>
      <c r="F202" s="11">
        <v>2273.7199999999998</v>
      </c>
      <c r="G202" s="15">
        <f t="shared" si="4"/>
        <v>2.27372</v>
      </c>
      <c r="H202">
        <f t="shared" si="5"/>
        <v>7.7291725356826175</v>
      </c>
      <c r="I202">
        <v>4904.18</v>
      </c>
      <c r="J202" s="15">
        <f t="shared" si="6"/>
        <v>4.9041800000000002</v>
      </c>
      <c r="K202">
        <f t="shared" si="7"/>
        <v>8.4978431816732769</v>
      </c>
    </row>
    <row r="203" spans="2:11" x14ac:dyDescent="0.35">
      <c r="B203" s="11"/>
      <c r="F203" s="11">
        <v>7147.08</v>
      </c>
      <c r="G203" s="15">
        <f t="shared" si="4"/>
        <v>7.1470799999999999</v>
      </c>
      <c r="H203">
        <f t="shared" si="5"/>
        <v>8.8744591606650971</v>
      </c>
      <c r="I203">
        <v>3345.97</v>
      </c>
      <c r="J203" s="15">
        <f t="shared" si="6"/>
        <v>3.3459699999999999</v>
      </c>
      <c r="K203">
        <f t="shared" si="7"/>
        <v>8.1155119155771072</v>
      </c>
    </row>
    <row r="204" spans="2:11" x14ac:dyDescent="0.35">
      <c r="B204" s="11"/>
      <c r="F204" s="11">
        <v>1165.44</v>
      </c>
      <c r="G204" s="15">
        <f t="shared" si="4"/>
        <v>1.16544</v>
      </c>
      <c r="H204">
        <f t="shared" si="5"/>
        <v>7.0608539770991881</v>
      </c>
      <c r="I204">
        <v>10050.76</v>
      </c>
      <c r="J204" s="15">
        <f t="shared" si="6"/>
        <v>10.05076</v>
      </c>
      <c r="K204">
        <f t="shared" si="7"/>
        <v>9.2154035325185788</v>
      </c>
    </row>
    <row r="205" spans="2:11" x14ac:dyDescent="0.35">
      <c r="B205" s="11"/>
      <c r="F205" s="14">
        <v>21548.57</v>
      </c>
      <c r="G205" s="15">
        <f t="shared" si="4"/>
        <v>21.548569999999998</v>
      </c>
      <c r="H205">
        <f t="shared" si="5"/>
        <v>9.9780647360215653</v>
      </c>
      <c r="I205">
        <v>937.83</v>
      </c>
      <c r="J205" s="15">
        <f t="shared" si="6"/>
        <v>0.93783000000000005</v>
      </c>
      <c r="K205">
        <f t="shared" si="7"/>
        <v>6.8435686959071003</v>
      </c>
    </row>
    <row r="206" spans="2:11" x14ac:dyDescent="0.35">
      <c r="B206" s="14"/>
      <c r="F206" s="11">
        <v>1523.43</v>
      </c>
      <c r="G206" s="15">
        <f t="shared" si="4"/>
        <v>1.5234300000000001</v>
      </c>
      <c r="H206">
        <f t="shared" si="5"/>
        <v>7.3287196505372254</v>
      </c>
      <c r="I206" s="6">
        <v>24058.14</v>
      </c>
      <c r="J206" s="15">
        <f t="shared" si="6"/>
        <v>24.058139999999998</v>
      </c>
      <c r="K206">
        <f t="shared" si="7"/>
        <v>10.088228679807184</v>
      </c>
    </row>
    <row r="207" spans="2:11" x14ac:dyDescent="0.35">
      <c r="B207" s="11"/>
      <c r="F207" s="11">
        <v>2426.65</v>
      </c>
      <c r="G207" s="15">
        <f t="shared" si="4"/>
        <v>2.42665</v>
      </c>
      <c r="H207">
        <f t="shared" si="5"/>
        <v>7.7942669843671686</v>
      </c>
      <c r="I207">
        <v>2046.02</v>
      </c>
      <c r="J207" s="15">
        <f t="shared" si="6"/>
        <v>2.0460199999999999</v>
      </c>
      <c r="K207">
        <f t="shared" si="7"/>
        <v>7.6236517216348609</v>
      </c>
    </row>
    <row r="208" spans="2:11" x14ac:dyDescent="0.35">
      <c r="B208" s="11"/>
      <c r="F208" s="11">
        <v>16431.439999999999</v>
      </c>
      <c r="G208" s="15">
        <f t="shared" si="4"/>
        <v>16.431439999999998</v>
      </c>
      <c r="H208">
        <f t="shared" si="5"/>
        <v>9.7069518517434012</v>
      </c>
      <c r="I208">
        <v>2425.4299999999998</v>
      </c>
      <c r="J208" s="15">
        <f t="shared" si="6"/>
        <v>2.42543</v>
      </c>
      <c r="K208">
        <f t="shared" si="7"/>
        <v>7.7937641072399524</v>
      </c>
    </row>
    <row r="209" spans="2:11" x14ac:dyDescent="0.35">
      <c r="B209" s="11"/>
      <c r="F209" s="11">
        <v>1228.3</v>
      </c>
      <c r="G209" s="15">
        <f t="shared" si="4"/>
        <v>1.2282999999999999</v>
      </c>
      <c r="H209">
        <f t="shared" si="5"/>
        <v>7.1133863785450488</v>
      </c>
      <c r="I209">
        <v>49647.12</v>
      </c>
      <c r="J209" s="15">
        <f t="shared" si="6"/>
        <v>49.647120000000001</v>
      </c>
      <c r="K209">
        <f t="shared" si="7"/>
        <v>10.812695661748608</v>
      </c>
    </row>
    <row r="210" spans="2:11" x14ac:dyDescent="0.35">
      <c r="B210" s="11"/>
      <c r="F210" s="11">
        <v>2330.9699999999998</v>
      </c>
      <c r="G210" s="15">
        <f t="shared" si="4"/>
        <v>2.3309699999999998</v>
      </c>
      <c r="H210">
        <f t="shared" si="5"/>
        <v>7.7540397689400677</v>
      </c>
      <c r="I210">
        <v>1001.09</v>
      </c>
      <c r="J210" s="15">
        <f t="shared" si="6"/>
        <v>1.00109</v>
      </c>
      <c r="K210">
        <f t="shared" si="7"/>
        <v>6.9088446853634604</v>
      </c>
    </row>
    <row r="211" spans="2:11" x14ac:dyDescent="0.35">
      <c r="B211" s="11"/>
      <c r="F211" s="11">
        <v>1886.39</v>
      </c>
      <c r="G211" s="15">
        <f t="shared" si="4"/>
        <v>1.88639</v>
      </c>
      <c r="H211">
        <f t="shared" si="5"/>
        <v>7.5424202286664261</v>
      </c>
      <c r="I211">
        <v>4908.74</v>
      </c>
      <c r="J211" s="15">
        <f t="shared" si="6"/>
        <v>4.9087399999999999</v>
      </c>
      <c r="K211">
        <f t="shared" si="7"/>
        <v>8.4987725687116367</v>
      </c>
    </row>
    <row r="212" spans="2:11" x14ac:dyDescent="0.35">
      <c r="B212" s="11"/>
      <c r="F212" s="11">
        <v>5854.57</v>
      </c>
      <c r="G212" s="15">
        <f t="shared" si="4"/>
        <v>5.8545699999999998</v>
      </c>
      <c r="H212">
        <f t="shared" si="5"/>
        <v>8.6749778318318693</v>
      </c>
      <c r="I212">
        <v>2121.0700000000002</v>
      </c>
      <c r="J212" s="15">
        <f t="shared" si="6"/>
        <v>2.12107</v>
      </c>
      <c r="K212">
        <f t="shared" si="7"/>
        <v>7.6596759573204158</v>
      </c>
    </row>
    <row r="213" spans="2:11" x14ac:dyDescent="0.35">
      <c r="B213" s="11"/>
      <c r="F213" s="11">
        <v>22829.72</v>
      </c>
      <c r="G213" s="15">
        <f t="shared" ref="G213:G235" si="8">F213/1000</f>
        <v>22.829720000000002</v>
      </c>
      <c r="H213">
        <f t="shared" ref="H213:H235" si="9">LN(F213)</f>
        <v>10.035818474884461</v>
      </c>
      <c r="I213">
        <v>9109.98</v>
      </c>
      <c r="J213" s="15">
        <f t="shared" si="6"/>
        <v>9.1099800000000002</v>
      </c>
      <c r="K213">
        <f t="shared" si="7"/>
        <v>9.1171257948619129</v>
      </c>
    </row>
    <row r="214" spans="2:11" x14ac:dyDescent="0.35">
      <c r="B214" s="11"/>
      <c r="F214" s="11">
        <v>4008.31</v>
      </c>
      <c r="G214" s="15">
        <f t="shared" si="8"/>
        <v>4.0083099999999998</v>
      </c>
      <c r="H214">
        <f t="shared" si="9"/>
        <v>8.2961249850830878</v>
      </c>
      <c r="I214">
        <v>36565.42</v>
      </c>
      <c r="J214" s="15">
        <f t="shared" ref="J214:J236" si="10">I214/1000</f>
        <v>36.565419999999996</v>
      </c>
      <c r="K214">
        <f t="shared" ref="K214:K236" si="11">LN(I214)</f>
        <v>10.506858264033177</v>
      </c>
    </row>
    <row r="215" spans="2:11" x14ac:dyDescent="0.35">
      <c r="B215" s="11"/>
      <c r="F215" s="11">
        <v>10844.35</v>
      </c>
      <c r="G215" s="15">
        <f t="shared" si="8"/>
        <v>10.84435</v>
      </c>
      <c r="H215">
        <f t="shared" si="9"/>
        <v>9.291399486010647</v>
      </c>
      <c r="I215">
        <v>6774.46</v>
      </c>
      <c r="J215" s="15">
        <f t="shared" si="10"/>
        <v>6.7744600000000004</v>
      </c>
      <c r="K215">
        <f t="shared" si="11"/>
        <v>8.8209149377742584</v>
      </c>
    </row>
    <row r="216" spans="2:11" x14ac:dyDescent="0.35">
      <c r="B216" s="11"/>
      <c r="F216" s="11">
        <v>1887.01</v>
      </c>
      <c r="G216" s="15">
        <f t="shared" si="8"/>
        <v>1.8870100000000001</v>
      </c>
      <c r="H216">
        <f t="shared" si="9"/>
        <v>7.5427488447715723</v>
      </c>
      <c r="I216">
        <v>16022.57</v>
      </c>
      <c r="J216" s="15">
        <f t="shared" si="10"/>
        <v>16.022569999999998</v>
      </c>
      <c r="K216">
        <f t="shared" si="11"/>
        <v>9.681753632225135</v>
      </c>
    </row>
    <row r="217" spans="2:11" x14ac:dyDescent="0.35">
      <c r="B217" s="11"/>
      <c r="F217" s="11">
        <v>8373.42</v>
      </c>
      <c r="G217" s="15">
        <f t="shared" si="8"/>
        <v>8.3734199999999994</v>
      </c>
      <c r="H217">
        <f t="shared" si="9"/>
        <v>9.0328176821789317</v>
      </c>
      <c r="I217">
        <v>3529.82</v>
      </c>
      <c r="J217" s="15">
        <f t="shared" si="10"/>
        <v>3.52982</v>
      </c>
      <c r="K217">
        <f t="shared" si="11"/>
        <v>8.1690021571258153</v>
      </c>
    </row>
    <row r="218" spans="2:11" x14ac:dyDescent="0.35">
      <c r="B218" s="11"/>
      <c r="F218" s="11">
        <v>1079.75</v>
      </c>
      <c r="G218" s="15">
        <f t="shared" si="8"/>
        <v>1.07975</v>
      </c>
      <c r="H218">
        <f t="shared" si="9"/>
        <v>6.9844848118408107</v>
      </c>
      <c r="I218">
        <v>20471.23</v>
      </c>
      <c r="J218" s="15">
        <f t="shared" si="10"/>
        <v>20.471229999999998</v>
      </c>
      <c r="K218">
        <f t="shared" si="11"/>
        <v>9.9267757647836881</v>
      </c>
    </row>
    <row r="219" spans="2:11" x14ac:dyDescent="0.35">
      <c r="B219" s="11"/>
      <c r="F219" s="11">
        <v>1457.43</v>
      </c>
      <c r="G219" s="15">
        <f t="shared" si="8"/>
        <v>1.45743</v>
      </c>
      <c r="H219">
        <f t="shared" si="9"/>
        <v>7.284429889627039</v>
      </c>
      <c r="I219">
        <v>1206.0899999999999</v>
      </c>
      <c r="J219" s="15">
        <f t="shared" si="10"/>
        <v>1.2060899999999999</v>
      </c>
      <c r="K219">
        <f t="shared" si="11"/>
        <v>7.0951390013683566</v>
      </c>
    </row>
    <row r="220" spans="2:11" x14ac:dyDescent="0.35">
      <c r="B220" s="11"/>
      <c r="F220" s="11">
        <v>3635.4</v>
      </c>
      <c r="G220" s="15">
        <f t="shared" si="8"/>
        <v>3.6354000000000002</v>
      </c>
      <c r="H220">
        <f t="shared" si="9"/>
        <v>8.1984744251789987</v>
      </c>
      <c r="I220">
        <v>1249.42</v>
      </c>
      <c r="J220" s="15">
        <f t="shared" si="10"/>
        <v>1.24942</v>
      </c>
      <c r="K220">
        <f t="shared" si="11"/>
        <v>7.1304347226150364</v>
      </c>
    </row>
    <row r="221" spans="2:11" x14ac:dyDescent="0.35">
      <c r="B221" s="11"/>
      <c r="F221" s="11">
        <v>16531.310000000001</v>
      </c>
      <c r="G221" s="15">
        <f t="shared" si="8"/>
        <v>16.531310000000001</v>
      </c>
      <c r="H221">
        <f t="shared" si="9"/>
        <v>9.7130114375237255</v>
      </c>
      <c r="I221">
        <v>9062.08</v>
      </c>
      <c r="J221" s="15">
        <f t="shared" si="10"/>
        <v>9.0620799999999999</v>
      </c>
      <c r="K221">
        <f t="shared" si="11"/>
        <v>9.1118539532613898</v>
      </c>
    </row>
    <row r="222" spans="2:11" x14ac:dyDescent="0.35">
      <c r="B222" s="11"/>
      <c r="F222" s="11">
        <v>4667.22</v>
      </c>
      <c r="G222" s="15">
        <f t="shared" si="8"/>
        <v>4.6672200000000004</v>
      </c>
      <c r="H222">
        <f t="shared" si="9"/>
        <v>8.4483188843288204</v>
      </c>
      <c r="I222">
        <v>18973.14</v>
      </c>
      <c r="J222" s="15">
        <f t="shared" si="10"/>
        <v>18.973140000000001</v>
      </c>
      <c r="K222">
        <f t="shared" si="11"/>
        <v>9.8507795737437771</v>
      </c>
    </row>
    <row r="223" spans="2:11" x14ac:dyDescent="0.35">
      <c r="B223" s="11"/>
      <c r="F223" s="11">
        <v>8550.59</v>
      </c>
      <c r="G223" s="15">
        <f t="shared" si="8"/>
        <v>8.5505899999999997</v>
      </c>
      <c r="H223">
        <f t="shared" si="9"/>
        <v>9.0537555653979656</v>
      </c>
      <c r="I223">
        <v>8319.24</v>
      </c>
      <c r="J223" s="15">
        <f t="shared" si="10"/>
        <v>8.3192400000000006</v>
      </c>
      <c r="K223">
        <f t="shared" si="11"/>
        <v>9.0263261834890933</v>
      </c>
    </row>
    <row r="224" spans="2:11" x14ac:dyDescent="0.35">
      <c r="B224" s="11"/>
      <c r="F224" s="11">
        <v>12325.87</v>
      </c>
      <c r="G224" s="15">
        <f t="shared" si="8"/>
        <v>12.32587</v>
      </c>
      <c r="H224">
        <f t="shared" si="9"/>
        <v>9.419455584654953</v>
      </c>
      <c r="I224">
        <v>11859.41</v>
      </c>
      <c r="J224" s="15">
        <f t="shared" si="10"/>
        <v>11.85941</v>
      </c>
      <c r="K224">
        <f t="shared" si="11"/>
        <v>9.3808769242653867</v>
      </c>
    </row>
    <row r="225" spans="2:11" x14ac:dyDescent="0.35">
      <c r="B225" s="11"/>
      <c r="F225" s="11">
        <v>1634.68</v>
      </c>
      <c r="G225" s="15">
        <f t="shared" si="8"/>
        <v>1.6346800000000001</v>
      </c>
      <c r="H225">
        <f t="shared" si="9"/>
        <v>7.3992023455215241</v>
      </c>
      <c r="I225">
        <v>35008.58</v>
      </c>
      <c r="J225" s="15">
        <f t="shared" si="10"/>
        <v>35.008580000000002</v>
      </c>
      <c r="K225">
        <f t="shared" si="11"/>
        <v>10.463348453286093</v>
      </c>
    </row>
    <row r="226" spans="2:11" x14ac:dyDescent="0.35">
      <c r="B226" s="11"/>
      <c r="F226" s="11">
        <v>844.11</v>
      </c>
      <c r="G226" s="15">
        <f t="shared" si="8"/>
        <v>0.84411000000000003</v>
      </c>
      <c r="H226">
        <f t="shared" si="9"/>
        <v>6.7382828178570664</v>
      </c>
      <c r="I226">
        <v>1350.22</v>
      </c>
      <c r="J226" s="15">
        <f t="shared" si="10"/>
        <v>1.35022</v>
      </c>
      <c r="K226">
        <f t="shared" si="11"/>
        <v>7.2080228211184165</v>
      </c>
    </row>
    <row r="227" spans="2:11" x14ac:dyDescent="0.35">
      <c r="B227" s="11"/>
      <c r="F227" s="11">
        <v>7512.96</v>
      </c>
      <c r="G227" s="15">
        <f t="shared" si="8"/>
        <v>7.5129599999999996</v>
      </c>
      <c r="H227">
        <f t="shared" si="9"/>
        <v>8.9243848082501032</v>
      </c>
      <c r="I227">
        <v>1207.56</v>
      </c>
      <c r="J227" s="15">
        <f t="shared" si="10"/>
        <v>1.20756</v>
      </c>
      <c r="K227">
        <f t="shared" si="11"/>
        <v>7.096357073733242</v>
      </c>
    </row>
    <row r="228" spans="2:11" x14ac:dyDescent="0.35">
      <c r="B228" s="11"/>
      <c r="F228" s="11">
        <v>31519.54</v>
      </c>
      <c r="G228" s="15">
        <f t="shared" si="8"/>
        <v>31.519539999999999</v>
      </c>
      <c r="H228">
        <f t="shared" si="9"/>
        <v>10.358362949956694</v>
      </c>
      <c r="I228">
        <v>9844.59</v>
      </c>
      <c r="J228" s="15">
        <f t="shared" si="10"/>
        <v>9.8445900000000002</v>
      </c>
      <c r="K228">
        <f t="shared" si="11"/>
        <v>9.1946773447006951</v>
      </c>
    </row>
    <row r="229" spans="2:11" x14ac:dyDescent="0.35">
      <c r="B229" s="11"/>
      <c r="F229" s="11">
        <v>4483.3999999999996</v>
      </c>
      <c r="G229" s="15">
        <f t="shared" si="8"/>
        <v>4.4833999999999996</v>
      </c>
      <c r="H229">
        <f t="shared" si="9"/>
        <v>8.4081369661397947</v>
      </c>
      <c r="I229">
        <v>49138.48</v>
      </c>
      <c r="J229" s="15">
        <f t="shared" si="10"/>
        <v>49.138480000000001</v>
      </c>
      <c r="K229">
        <f t="shared" si="11"/>
        <v>10.802397713565833</v>
      </c>
    </row>
    <row r="230" spans="2:11" x14ac:dyDescent="0.35">
      <c r="B230" s="11"/>
      <c r="F230" s="11">
        <v>9217.86</v>
      </c>
      <c r="G230" s="15">
        <f t="shared" si="8"/>
        <v>9.2178599999999999</v>
      </c>
      <c r="H230">
        <f t="shared" si="9"/>
        <v>9.1288981854888345</v>
      </c>
      <c r="I230">
        <v>8288.42</v>
      </c>
      <c r="J230" s="15">
        <f t="shared" si="10"/>
        <v>8.2884200000000003</v>
      </c>
      <c r="K230">
        <f t="shared" si="11"/>
        <v>9.0226146388909712</v>
      </c>
    </row>
    <row r="231" spans="2:11" x14ac:dyDescent="0.35">
      <c r="B231" s="11"/>
      <c r="F231" s="11">
        <v>7139.55</v>
      </c>
      <c r="G231" s="15">
        <f t="shared" si="8"/>
        <v>7.1395499999999998</v>
      </c>
      <c r="H231">
        <f t="shared" si="9"/>
        <v>8.8734050281373733</v>
      </c>
      <c r="I231">
        <v>8181.38</v>
      </c>
      <c r="J231" s="15">
        <f t="shared" si="10"/>
        <v>8.1813800000000008</v>
      </c>
      <c r="K231">
        <f t="shared" si="11"/>
        <v>9.0096161195243258</v>
      </c>
    </row>
    <row r="232" spans="2:11" x14ac:dyDescent="0.35">
      <c r="B232" s="11"/>
      <c r="F232" s="11">
        <v>1104.73</v>
      </c>
      <c r="G232" s="15">
        <f t="shared" si="8"/>
        <v>1.10473</v>
      </c>
      <c r="H232">
        <f t="shared" si="9"/>
        <v>7.0073562402036185</v>
      </c>
      <c r="I232">
        <v>32243.37</v>
      </c>
      <c r="J232" s="15">
        <f t="shared" si="10"/>
        <v>32.243369999999999</v>
      </c>
      <c r="K232">
        <f t="shared" si="11"/>
        <v>10.381067719693817</v>
      </c>
    </row>
    <row r="233" spans="2:11" x14ac:dyDescent="0.35">
      <c r="B233" s="11"/>
      <c r="F233" s="11">
        <v>8959.18</v>
      </c>
      <c r="G233" s="15">
        <f t="shared" si="8"/>
        <v>8.9591799999999999</v>
      </c>
      <c r="H233">
        <f t="shared" si="9"/>
        <v>9.1004339839238195</v>
      </c>
      <c r="I233">
        <v>2629.56</v>
      </c>
      <c r="J233" s="15">
        <f t="shared" si="10"/>
        <v>2.6295600000000001</v>
      </c>
      <c r="K233">
        <f t="shared" si="11"/>
        <v>7.8745718107953122</v>
      </c>
    </row>
    <row r="234" spans="2:11" x14ac:dyDescent="0.35">
      <c r="B234" s="11"/>
      <c r="F234" s="11">
        <v>1829.18</v>
      </c>
      <c r="G234" s="15">
        <f t="shared" si="8"/>
        <v>1.82918</v>
      </c>
      <c r="H234">
        <f t="shared" si="9"/>
        <v>7.5116230579826002</v>
      </c>
      <c r="I234">
        <v>9732.7099999999991</v>
      </c>
      <c r="J234" s="15">
        <f t="shared" si="10"/>
        <v>9.7327099999999991</v>
      </c>
      <c r="K234">
        <f t="shared" si="11"/>
        <v>9.1832476564416545</v>
      </c>
    </row>
    <row r="235" spans="2:11" x14ac:dyDescent="0.35">
      <c r="B235" s="13"/>
      <c r="F235" s="13">
        <v>3311.18</v>
      </c>
      <c r="G235" s="15">
        <f t="shared" si="8"/>
        <v>3.3111799999999998</v>
      </c>
      <c r="H235">
        <f t="shared" si="9"/>
        <v>8.1050599003099748</v>
      </c>
      <c r="I235">
        <v>1426.87</v>
      </c>
      <c r="J235" s="15">
        <f t="shared" si="10"/>
        <v>1.4268699999999999</v>
      </c>
      <c r="K235">
        <f t="shared" si="11"/>
        <v>7.263238513116729</v>
      </c>
    </row>
    <row r="236" spans="2:11" x14ac:dyDescent="0.35">
      <c r="I236">
        <v>1530.02</v>
      </c>
      <c r="J236" s="15">
        <f t="shared" si="10"/>
        <v>1.5300199999999999</v>
      </c>
      <c r="K236">
        <f t="shared" si="11"/>
        <v>7.3330360861964694</v>
      </c>
    </row>
  </sheetData>
  <sortState xmlns:xlrd2="http://schemas.microsoft.com/office/spreadsheetml/2017/richdata2" ref="B84:B235">
    <sortCondition descending="1" ref="B84:B235"/>
  </sortState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C707-B307-418D-B347-7ECECACC5BBC}">
  <dimension ref="A1"/>
  <sheetViews>
    <sheetView zoomScaleNormal="100" workbookViewId="0">
      <selection activeCell="L126" sqref="L12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3BAA-15B3-43FF-A59E-06A68B94EC30}">
  <dimension ref="A1:G153"/>
  <sheetViews>
    <sheetView topLeftCell="A121" workbookViewId="0">
      <selection activeCell="G131" sqref="G131"/>
    </sheetView>
  </sheetViews>
  <sheetFormatPr defaultRowHeight="14.5" x14ac:dyDescent="0.35"/>
  <cols>
    <col min="1" max="1" width="17.6328125" bestFit="1" customWidth="1"/>
    <col min="2" max="5" width="11.26953125" bestFit="1" customWidth="1"/>
    <col min="6" max="7" width="8.26953125" bestFit="1" customWidth="1"/>
  </cols>
  <sheetData>
    <row r="1" spans="1:7" x14ac:dyDescent="0.35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</row>
    <row r="2" spans="1:7" x14ac:dyDescent="0.35">
      <c r="A2">
        <v>1</v>
      </c>
      <c r="B2" s="5" t="s">
        <v>145</v>
      </c>
      <c r="C2" s="5" t="s">
        <v>65</v>
      </c>
      <c r="D2" s="5" t="s">
        <v>151</v>
      </c>
      <c r="E2" s="5" t="s">
        <v>158</v>
      </c>
      <c r="F2">
        <v>1973</v>
      </c>
      <c r="G2">
        <v>2007</v>
      </c>
    </row>
    <row r="3" spans="1:7" x14ac:dyDescent="0.35">
      <c r="A3">
        <v>2</v>
      </c>
      <c r="B3" s="5" t="s">
        <v>139</v>
      </c>
      <c r="C3" s="5" t="s">
        <v>68</v>
      </c>
      <c r="D3" s="5" t="s">
        <v>61</v>
      </c>
      <c r="E3" s="5" t="s">
        <v>155</v>
      </c>
      <c r="F3">
        <v>1977</v>
      </c>
      <c r="G3">
        <v>2017</v>
      </c>
    </row>
    <row r="4" spans="1:7" x14ac:dyDescent="0.35">
      <c r="A4">
        <v>3</v>
      </c>
      <c r="B4" s="5" t="s">
        <v>58</v>
      </c>
      <c r="C4" s="5" t="s">
        <v>61</v>
      </c>
      <c r="D4" s="5" t="s">
        <v>51</v>
      </c>
      <c r="E4" s="5" t="s">
        <v>42</v>
      </c>
      <c r="F4">
        <v>1979</v>
      </c>
      <c r="G4">
        <v>2013</v>
      </c>
    </row>
    <row r="5" spans="1:7" x14ac:dyDescent="0.35">
      <c r="A5">
        <v>4</v>
      </c>
      <c r="B5" s="5" t="s">
        <v>178</v>
      </c>
      <c r="C5" s="5" t="s">
        <v>73</v>
      </c>
      <c r="D5" s="5" t="s">
        <v>54</v>
      </c>
      <c r="E5" s="5" t="s">
        <v>180</v>
      </c>
      <c r="F5">
        <v>1972</v>
      </c>
      <c r="G5">
        <v>2002</v>
      </c>
    </row>
    <row r="6" spans="1:7" x14ac:dyDescent="0.35">
      <c r="A6">
        <v>5</v>
      </c>
      <c r="B6" s="5" t="s">
        <v>173</v>
      </c>
      <c r="C6" s="5" t="s">
        <v>161</v>
      </c>
      <c r="D6" s="5" t="s">
        <v>90</v>
      </c>
      <c r="E6" s="5" t="s">
        <v>92</v>
      </c>
      <c r="F6">
        <v>1974</v>
      </c>
      <c r="G6">
        <v>2009</v>
      </c>
    </row>
    <row r="7" spans="1:7" x14ac:dyDescent="0.35">
      <c r="A7">
        <v>6</v>
      </c>
      <c r="B7" s="5" t="s">
        <v>63</v>
      </c>
      <c r="C7" s="5" t="s">
        <v>101</v>
      </c>
      <c r="D7" s="5" t="s">
        <v>137</v>
      </c>
      <c r="E7" s="5" t="s">
        <v>43</v>
      </c>
      <c r="F7">
        <v>1975</v>
      </c>
      <c r="G7">
        <v>2017</v>
      </c>
    </row>
    <row r="8" spans="1:7" x14ac:dyDescent="0.35">
      <c r="A8">
        <v>7</v>
      </c>
      <c r="B8" s="5" t="s">
        <v>80</v>
      </c>
      <c r="C8" s="5" t="s">
        <v>178</v>
      </c>
      <c r="D8" s="5" t="s">
        <v>49</v>
      </c>
      <c r="E8" s="5" t="s">
        <v>92</v>
      </c>
      <c r="F8">
        <v>1977</v>
      </c>
      <c r="G8">
        <v>2017</v>
      </c>
    </row>
    <row r="9" spans="1:7" x14ac:dyDescent="0.35">
      <c r="A9">
        <v>8</v>
      </c>
      <c r="B9" s="5" t="s">
        <v>173</v>
      </c>
      <c r="C9" s="5" t="s">
        <v>75</v>
      </c>
      <c r="D9" s="5" t="s">
        <v>171</v>
      </c>
      <c r="E9" s="5" t="s">
        <v>52</v>
      </c>
      <c r="F9">
        <v>1971</v>
      </c>
      <c r="G9">
        <v>2003</v>
      </c>
    </row>
    <row r="10" spans="1:7" x14ac:dyDescent="0.35">
      <c r="A10">
        <v>9</v>
      </c>
      <c r="B10" s="5" t="s">
        <v>61</v>
      </c>
      <c r="C10" s="5" t="s">
        <v>183</v>
      </c>
      <c r="D10" s="5" t="s">
        <v>53</v>
      </c>
      <c r="E10" s="5" t="s">
        <v>165</v>
      </c>
      <c r="F10">
        <v>1973</v>
      </c>
      <c r="G10">
        <v>2003</v>
      </c>
    </row>
    <row r="11" spans="1:7" x14ac:dyDescent="0.35">
      <c r="A11">
        <v>10</v>
      </c>
      <c r="B11" s="5" t="s">
        <v>53</v>
      </c>
      <c r="C11" s="5" t="s">
        <v>96</v>
      </c>
      <c r="D11" s="5" t="s">
        <v>186</v>
      </c>
      <c r="E11" s="5" t="s">
        <v>67</v>
      </c>
      <c r="F11">
        <v>1985</v>
      </c>
      <c r="G11">
        <v>2000</v>
      </c>
    </row>
    <row r="12" spans="1:7" x14ac:dyDescent="0.35">
      <c r="A12">
        <v>11</v>
      </c>
      <c r="B12" s="5" t="s">
        <v>127</v>
      </c>
      <c r="C12" s="5" t="s">
        <v>155</v>
      </c>
      <c r="D12" s="5" t="s">
        <v>130</v>
      </c>
      <c r="E12" s="5" t="s">
        <v>48</v>
      </c>
      <c r="F12">
        <v>1972</v>
      </c>
      <c r="G12">
        <v>2015</v>
      </c>
    </row>
    <row r="13" spans="1:7" x14ac:dyDescent="0.35">
      <c r="A13">
        <v>12</v>
      </c>
      <c r="B13" s="5" t="s">
        <v>103</v>
      </c>
      <c r="C13" s="5" t="s">
        <v>157</v>
      </c>
      <c r="D13" s="5" t="s">
        <v>108</v>
      </c>
      <c r="E13" s="5" t="s">
        <v>179</v>
      </c>
      <c r="F13">
        <v>1985</v>
      </c>
      <c r="G13">
        <v>2016</v>
      </c>
    </row>
    <row r="14" spans="1:7" x14ac:dyDescent="0.35">
      <c r="A14">
        <v>13</v>
      </c>
      <c r="B14" s="5" t="s">
        <v>84</v>
      </c>
      <c r="C14" s="5" t="s">
        <v>67</v>
      </c>
      <c r="D14" s="5" t="s">
        <v>55</v>
      </c>
      <c r="E14" s="5" t="s">
        <v>62</v>
      </c>
      <c r="F14">
        <v>1987</v>
      </c>
      <c r="G14">
        <v>2003</v>
      </c>
    </row>
    <row r="15" spans="1:7" x14ac:dyDescent="0.35">
      <c r="A15">
        <v>14</v>
      </c>
      <c r="B15" s="5" t="s">
        <v>54</v>
      </c>
      <c r="C15" s="5" t="s">
        <v>107</v>
      </c>
      <c r="D15" s="5" t="s">
        <v>42</v>
      </c>
      <c r="E15" s="5" t="s">
        <v>124</v>
      </c>
      <c r="F15">
        <v>1986</v>
      </c>
      <c r="G15">
        <v>2006</v>
      </c>
    </row>
    <row r="16" spans="1:7" x14ac:dyDescent="0.35">
      <c r="A16">
        <v>15</v>
      </c>
      <c r="B16" s="5" t="s">
        <v>123</v>
      </c>
      <c r="C16" s="5" t="s">
        <v>146</v>
      </c>
      <c r="D16" s="5" t="s">
        <v>91</v>
      </c>
      <c r="E16" s="5" t="s">
        <v>112</v>
      </c>
      <c r="F16">
        <v>1973</v>
      </c>
      <c r="G16">
        <v>2012</v>
      </c>
    </row>
    <row r="17" spans="1:7" x14ac:dyDescent="0.35">
      <c r="A17">
        <v>16</v>
      </c>
      <c r="B17" s="5" t="s">
        <v>115</v>
      </c>
      <c r="C17" s="5" t="s">
        <v>88</v>
      </c>
      <c r="D17" s="5" t="s">
        <v>111</v>
      </c>
      <c r="E17" s="5" t="s">
        <v>69</v>
      </c>
      <c r="F17">
        <v>1981</v>
      </c>
      <c r="G17">
        <v>2014</v>
      </c>
    </row>
    <row r="18" spans="1:7" x14ac:dyDescent="0.35">
      <c r="A18">
        <v>17</v>
      </c>
      <c r="B18" s="5" t="s">
        <v>186</v>
      </c>
      <c r="C18" s="5" t="s">
        <v>148</v>
      </c>
      <c r="D18" s="5" t="s">
        <v>85</v>
      </c>
      <c r="E18" s="5" t="s">
        <v>69</v>
      </c>
      <c r="F18">
        <v>1980</v>
      </c>
      <c r="G18">
        <v>2008</v>
      </c>
    </row>
    <row r="19" spans="1:7" x14ac:dyDescent="0.35">
      <c r="A19">
        <v>18</v>
      </c>
      <c r="B19" s="5" t="s">
        <v>56</v>
      </c>
      <c r="C19" s="5" t="s">
        <v>148</v>
      </c>
      <c r="D19" s="5" t="s">
        <v>180</v>
      </c>
      <c r="E19" s="5" t="s">
        <v>82</v>
      </c>
      <c r="F19">
        <v>1976</v>
      </c>
      <c r="G19">
        <v>2012</v>
      </c>
    </row>
    <row r="20" spans="1:7" x14ac:dyDescent="0.35">
      <c r="A20">
        <v>19</v>
      </c>
      <c r="B20" s="5" t="s">
        <v>43</v>
      </c>
      <c r="C20" s="5" t="s">
        <v>63</v>
      </c>
      <c r="D20" s="5" t="s">
        <v>80</v>
      </c>
      <c r="E20" s="5" t="s">
        <v>137</v>
      </c>
      <c r="F20">
        <v>1972</v>
      </c>
      <c r="G20">
        <v>2017</v>
      </c>
    </row>
    <row r="21" spans="1:7" x14ac:dyDescent="0.35">
      <c r="A21">
        <v>20</v>
      </c>
      <c r="B21" s="5" t="s">
        <v>55</v>
      </c>
      <c r="C21" s="5" t="s">
        <v>124</v>
      </c>
      <c r="D21" s="5" t="s">
        <v>42</v>
      </c>
      <c r="E21" s="5" t="s">
        <v>76</v>
      </c>
      <c r="F21">
        <v>1981</v>
      </c>
      <c r="G21">
        <v>2015</v>
      </c>
    </row>
    <row r="22" spans="1:7" x14ac:dyDescent="0.35">
      <c r="A22">
        <v>21</v>
      </c>
      <c r="B22" s="5" t="s">
        <v>171</v>
      </c>
      <c r="C22" s="5" t="s">
        <v>120</v>
      </c>
      <c r="D22" s="5" t="s">
        <v>180</v>
      </c>
      <c r="E22" s="5" t="s">
        <v>78</v>
      </c>
      <c r="F22">
        <v>1972</v>
      </c>
      <c r="G22">
        <v>2010</v>
      </c>
    </row>
    <row r="23" spans="1:7" x14ac:dyDescent="0.35">
      <c r="A23">
        <v>22</v>
      </c>
      <c r="B23" s="5" t="s">
        <v>156</v>
      </c>
      <c r="C23" s="5" t="s">
        <v>63</v>
      </c>
      <c r="D23" s="5" t="s">
        <v>183</v>
      </c>
      <c r="E23" s="5" t="s">
        <v>177</v>
      </c>
      <c r="F23">
        <v>1970</v>
      </c>
      <c r="G23">
        <v>2017</v>
      </c>
    </row>
    <row r="24" spans="1:7" x14ac:dyDescent="0.35">
      <c r="A24">
        <v>23</v>
      </c>
      <c r="B24" s="5" t="s">
        <v>153</v>
      </c>
      <c r="C24" s="5" t="s">
        <v>175</v>
      </c>
      <c r="D24" s="5" t="s">
        <v>128</v>
      </c>
      <c r="E24" s="5" t="s">
        <v>115</v>
      </c>
      <c r="F24">
        <v>1976</v>
      </c>
      <c r="G24">
        <v>2012</v>
      </c>
    </row>
    <row r="25" spans="1:7" x14ac:dyDescent="0.35">
      <c r="A25">
        <v>24</v>
      </c>
      <c r="B25" s="5" t="s">
        <v>80</v>
      </c>
      <c r="C25" s="5" t="s">
        <v>159</v>
      </c>
      <c r="D25" s="5" t="s">
        <v>90</v>
      </c>
      <c r="E25" s="5" t="s">
        <v>71</v>
      </c>
      <c r="F25">
        <v>1981</v>
      </c>
      <c r="G25">
        <v>2012</v>
      </c>
    </row>
    <row r="26" spans="1:7" x14ac:dyDescent="0.35">
      <c r="A26">
        <v>25</v>
      </c>
      <c r="B26" s="5" t="s">
        <v>179</v>
      </c>
      <c r="C26" s="5" t="s">
        <v>82</v>
      </c>
      <c r="D26" s="5" t="s">
        <v>121</v>
      </c>
      <c r="E26" s="5" t="s">
        <v>107</v>
      </c>
      <c r="F26">
        <v>1981</v>
      </c>
      <c r="G26">
        <v>2004</v>
      </c>
    </row>
    <row r="27" spans="1:7" x14ac:dyDescent="0.35">
      <c r="A27">
        <v>26</v>
      </c>
      <c r="B27" s="5" t="s">
        <v>158</v>
      </c>
      <c r="C27" s="5" t="s">
        <v>177</v>
      </c>
      <c r="D27" s="5" t="s">
        <v>96</v>
      </c>
      <c r="E27" s="5" t="s">
        <v>49</v>
      </c>
      <c r="F27">
        <v>1980</v>
      </c>
      <c r="G27">
        <v>2014</v>
      </c>
    </row>
    <row r="28" spans="1:7" x14ac:dyDescent="0.35">
      <c r="A28">
        <v>27</v>
      </c>
      <c r="B28" s="5" t="s">
        <v>158</v>
      </c>
      <c r="C28" s="5" t="s">
        <v>90</v>
      </c>
      <c r="D28" s="5" t="s">
        <v>106</v>
      </c>
      <c r="E28" s="5" t="s">
        <v>185</v>
      </c>
      <c r="F28">
        <v>1981</v>
      </c>
      <c r="G28">
        <v>2017</v>
      </c>
    </row>
    <row r="29" spans="1:7" x14ac:dyDescent="0.35">
      <c r="A29">
        <v>28</v>
      </c>
      <c r="B29" s="5" t="s">
        <v>65</v>
      </c>
      <c r="C29" s="5" t="s">
        <v>138</v>
      </c>
      <c r="D29" s="5" t="s">
        <v>56</v>
      </c>
      <c r="E29" s="5" t="s">
        <v>85</v>
      </c>
      <c r="F29">
        <v>1985</v>
      </c>
      <c r="G29">
        <v>2001</v>
      </c>
    </row>
    <row r="30" spans="1:7" x14ac:dyDescent="0.35">
      <c r="A30">
        <v>29</v>
      </c>
      <c r="B30" s="5" t="s">
        <v>66</v>
      </c>
      <c r="C30" s="5" t="s">
        <v>98</v>
      </c>
      <c r="D30" s="5" t="s">
        <v>180</v>
      </c>
      <c r="E30" s="5" t="s">
        <v>52</v>
      </c>
      <c r="F30">
        <v>1973</v>
      </c>
      <c r="G30">
        <v>2002</v>
      </c>
    </row>
    <row r="31" spans="1:7" x14ac:dyDescent="0.35">
      <c r="A31">
        <v>30</v>
      </c>
      <c r="B31" s="5" t="s">
        <v>120</v>
      </c>
      <c r="C31" s="5" t="s">
        <v>117</v>
      </c>
      <c r="D31" s="5" t="s">
        <v>124</v>
      </c>
      <c r="E31" s="5" t="s">
        <v>106</v>
      </c>
      <c r="F31">
        <v>1976</v>
      </c>
      <c r="G31">
        <v>2008</v>
      </c>
    </row>
    <row r="32" spans="1:7" x14ac:dyDescent="0.35">
      <c r="A32">
        <v>31</v>
      </c>
      <c r="B32" s="5" t="s">
        <v>92</v>
      </c>
      <c r="C32" s="5" t="s">
        <v>67</v>
      </c>
      <c r="D32" s="5" t="s">
        <v>147</v>
      </c>
      <c r="E32" s="5" t="s">
        <v>112</v>
      </c>
      <c r="F32">
        <v>1972</v>
      </c>
      <c r="G32">
        <v>2000</v>
      </c>
    </row>
    <row r="33" spans="1:7" x14ac:dyDescent="0.35">
      <c r="A33">
        <v>32</v>
      </c>
      <c r="B33" s="5" t="s">
        <v>148</v>
      </c>
      <c r="C33" s="5" t="s">
        <v>147</v>
      </c>
      <c r="D33" s="5" t="s">
        <v>119</v>
      </c>
      <c r="E33" s="5" t="s">
        <v>73</v>
      </c>
      <c r="F33">
        <v>1973</v>
      </c>
      <c r="G33">
        <v>2005</v>
      </c>
    </row>
    <row r="34" spans="1:7" x14ac:dyDescent="0.35">
      <c r="A34">
        <v>33</v>
      </c>
      <c r="B34" s="5" t="s">
        <v>81</v>
      </c>
      <c r="C34" s="5" t="s">
        <v>88</v>
      </c>
      <c r="D34" s="5" t="s">
        <v>184</v>
      </c>
      <c r="E34" s="5" t="s">
        <v>69</v>
      </c>
      <c r="F34">
        <v>1979</v>
      </c>
      <c r="G34">
        <v>2013</v>
      </c>
    </row>
    <row r="35" spans="1:7" x14ac:dyDescent="0.35">
      <c r="A35">
        <v>34</v>
      </c>
      <c r="B35" s="5" t="s">
        <v>175</v>
      </c>
      <c r="C35" s="5" t="s">
        <v>100</v>
      </c>
      <c r="D35" s="5" t="s">
        <v>142</v>
      </c>
      <c r="E35" s="5" t="s">
        <v>139</v>
      </c>
      <c r="F35">
        <v>1975</v>
      </c>
      <c r="G35">
        <v>2004</v>
      </c>
    </row>
    <row r="36" spans="1:7" x14ac:dyDescent="0.35">
      <c r="A36">
        <v>35</v>
      </c>
      <c r="B36" s="5" t="s">
        <v>47</v>
      </c>
      <c r="C36" s="5" t="s">
        <v>166</v>
      </c>
      <c r="D36" s="5" t="s">
        <v>122</v>
      </c>
      <c r="E36" s="5" t="s">
        <v>61</v>
      </c>
      <c r="F36">
        <v>1973</v>
      </c>
      <c r="G36">
        <v>2011</v>
      </c>
    </row>
    <row r="37" spans="1:7" x14ac:dyDescent="0.35">
      <c r="A37">
        <v>36</v>
      </c>
      <c r="B37" s="5" t="s">
        <v>75</v>
      </c>
      <c r="C37" s="5" t="s">
        <v>122</v>
      </c>
      <c r="D37" s="5" t="s">
        <v>165</v>
      </c>
      <c r="E37" s="5" t="s">
        <v>139</v>
      </c>
      <c r="F37">
        <v>1987</v>
      </c>
      <c r="G37">
        <v>2007</v>
      </c>
    </row>
    <row r="38" spans="1:7" x14ac:dyDescent="0.35">
      <c r="A38">
        <v>37</v>
      </c>
      <c r="B38" s="5" t="s">
        <v>100</v>
      </c>
      <c r="C38" s="5" t="s">
        <v>71</v>
      </c>
      <c r="D38" s="5" t="s">
        <v>111</v>
      </c>
      <c r="E38" s="5" t="s">
        <v>157</v>
      </c>
      <c r="F38">
        <v>1970</v>
      </c>
      <c r="G38">
        <v>2002</v>
      </c>
    </row>
    <row r="39" spans="1:7" x14ac:dyDescent="0.35">
      <c r="A39">
        <v>38</v>
      </c>
      <c r="B39" s="5" t="s">
        <v>51</v>
      </c>
      <c r="C39" s="5" t="s">
        <v>80</v>
      </c>
      <c r="D39" s="5" t="s">
        <v>122</v>
      </c>
      <c r="E39" s="5" t="s">
        <v>93</v>
      </c>
      <c r="F39">
        <v>1972</v>
      </c>
      <c r="G39">
        <v>2005</v>
      </c>
    </row>
    <row r="40" spans="1:7" x14ac:dyDescent="0.35">
      <c r="A40">
        <v>39</v>
      </c>
      <c r="B40" s="5" t="s">
        <v>112</v>
      </c>
      <c r="C40" s="5" t="s">
        <v>168</v>
      </c>
      <c r="D40" s="5" t="s">
        <v>140</v>
      </c>
      <c r="E40" s="5" t="s">
        <v>100</v>
      </c>
      <c r="F40">
        <v>1981</v>
      </c>
      <c r="G40">
        <v>2004</v>
      </c>
    </row>
    <row r="41" spans="1:7" x14ac:dyDescent="0.35">
      <c r="A41">
        <v>40</v>
      </c>
      <c r="B41" s="5" t="s">
        <v>151</v>
      </c>
      <c r="C41" s="5" t="s">
        <v>144</v>
      </c>
      <c r="D41" s="5" t="s">
        <v>183</v>
      </c>
      <c r="E41" s="5" t="s">
        <v>92</v>
      </c>
      <c r="F41">
        <v>1974</v>
      </c>
      <c r="G41">
        <v>2014</v>
      </c>
    </row>
    <row r="42" spans="1:7" x14ac:dyDescent="0.35">
      <c r="A42">
        <v>41</v>
      </c>
      <c r="B42" s="5" t="s">
        <v>54</v>
      </c>
      <c r="C42" s="5" t="s">
        <v>150</v>
      </c>
      <c r="D42" s="5" t="s">
        <v>109</v>
      </c>
      <c r="E42" s="5" t="s">
        <v>47</v>
      </c>
      <c r="F42">
        <v>1982</v>
      </c>
      <c r="G42">
        <v>2007</v>
      </c>
    </row>
    <row r="43" spans="1:7" x14ac:dyDescent="0.35">
      <c r="A43">
        <v>42</v>
      </c>
      <c r="B43" s="5" t="s">
        <v>90</v>
      </c>
      <c r="C43" s="5" t="s">
        <v>172</v>
      </c>
      <c r="D43" s="5" t="s">
        <v>88</v>
      </c>
      <c r="E43" s="5" t="s">
        <v>66</v>
      </c>
      <c r="F43">
        <v>1975</v>
      </c>
      <c r="G43">
        <v>2010</v>
      </c>
    </row>
    <row r="44" spans="1:7" x14ac:dyDescent="0.35">
      <c r="A44">
        <v>43</v>
      </c>
      <c r="B44" s="5" t="s">
        <v>92</v>
      </c>
      <c r="C44" s="5" t="s">
        <v>58</v>
      </c>
      <c r="D44" s="5" t="s">
        <v>88</v>
      </c>
      <c r="E44" s="5" t="s">
        <v>111</v>
      </c>
      <c r="F44">
        <v>1987</v>
      </c>
      <c r="G44">
        <v>2010</v>
      </c>
    </row>
    <row r="45" spans="1:7" x14ac:dyDescent="0.35">
      <c r="A45">
        <v>44</v>
      </c>
      <c r="B45" s="5" t="s">
        <v>183</v>
      </c>
      <c r="C45" s="5" t="s">
        <v>54</v>
      </c>
      <c r="D45" s="5" t="s">
        <v>70</v>
      </c>
      <c r="E45" s="5" t="s">
        <v>131</v>
      </c>
      <c r="F45">
        <v>1978</v>
      </c>
      <c r="G45">
        <v>2017</v>
      </c>
    </row>
    <row r="46" spans="1:7" x14ac:dyDescent="0.35">
      <c r="A46">
        <v>45</v>
      </c>
      <c r="B46" s="5" t="s">
        <v>108</v>
      </c>
      <c r="C46" s="5" t="s">
        <v>180</v>
      </c>
      <c r="D46" s="5" t="s">
        <v>37</v>
      </c>
      <c r="E46" s="5" t="s">
        <v>106</v>
      </c>
      <c r="F46">
        <v>1979</v>
      </c>
      <c r="G46">
        <v>2000</v>
      </c>
    </row>
    <row r="47" spans="1:7" x14ac:dyDescent="0.35">
      <c r="A47">
        <v>46</v>
      </c>
      <c r="B47" s="5" t="s">
        <v>152</v>
      </c>
      <c r="C47" s="5" t="s">
        <v>183</v>
      </c>
      <c r="D47" s="5" t="s">
        <v>148</v>
      </c>
      <c r="E47" s="5" t="s">
        <v>83</v>
      </c>
      <c r="F47">
        <v>1971</v>
      </c>
      <c r="G47">
        <v>2003</v>
      </c>
    </row>
    <row r="48" spans="1:7" x14ac:dyDescent="0.35">
      <c r="A48">
        <v>47</v>
      </c>
      <c r="B48" s="5" t="s">
        <v>76</v>
      </c>
      <c r="C48" s="5" t="s">
        <v>47</v>
      </c>
      <c r="D48" s="5" t="s">
        <v>42</v>
      </c>
      <c r="E48" s="5" t="s">
        <v>122</v>
      </c>
      <c r="F48">
        <v>1974</v>
      </c>
      <c r="G48">
        <v>2008</v>
      </c>
    </row>
    <row r="49" spans="1:7" x14ac:dyDescent="0.35">
      <c r="A49">
        <v>48</v>
      </c>
      <c r="B49" s="5" t="s">
        <v>146</v>
      </c>
      <c r="C49" s="5" t="s">
        <v>139</v>
      </c>
      <c r="D49" s="5" t="s">
        <v>41</v>
      </c>
      <c r="E49" s="5" t="s">
        <v>89</v>
      </c>
      <c r="F49">
        <v>1976</v>
      </c>
      <c r="G49">
        <v>2005</v>
      </c>
    </row>
    <row r="50" spans="1:7" x14ac:dyDescent="0.35">
      <c r="A50">
        <v>49</v>
      </c>
      <c r="B50" s="5" t="s">
        <v>72</v>
      </c>
      <c r="C50" s="5" t="s">
        <v>98</v>
      </c>
      <c r="D50" s="5" t="s">
        <v>95</v>
      </c>
      <c r="E50" s="5" t="s">
        <v>76</v>
      </c>
      <c r="F50">
        <v>1973</v>
      </c>
      <c r="G50">
        <v>2011</v>
      </c>
    </row>
    <row r="51" spans="1:7" x14ac:dyDescent="0.35">
      <c r="A51">
        <v>50</v>
      </c>
      <c r="B51" s="5" t="s">
        <v>70</v>
      </c>
      <c r="C51" s="5" t="s">
        <v>101</v>
      </c>
      <c r="D51" s="5" t="s">
        <v>128</v>
      </c>
      <c r="E51" s="5" t="s">
        <v>174</v>
      </c>
      <c r="F51">
        <v>1978</v>
      </c>
      <c r="G51">
        <v>2007</v>
      </c>
    </row>
    <row r="52" spans="1:7" x14ac:dyDescent="0.35">
      <c r="A52">
        <v>51</v>
      </c>
      <c r="B52" s="5" t="s">
        <v>56</v>
      </c>
      <c r="C52" s="5" t="s">
        <v>99</v>
      </c>
      <c r="D52" s="5" t="s">
        <v>52</v>
      </c>
      <c r="E52" s="5" t="s">
        <v>175</v>
      </c>
      <c r="F52">
        <v>1977</v>
      </c>
      <c r="G52">
        <v>2017</v>
      </c>
    </row>
    <row r="53" spans="1:7" x14ac:dyDescent="0.35">
      <c r="A53">
        <v>52</v>
      </c>
      <c r="B53" s="5" t="s">
        <v>46</v>
      </c>
      <c r="C53" s="5" t="s">
        <v>186</v>
      </c>
      <c r="D53" s="5" t="s">
        <v>147</v>
      </c>
      <c r="E53" s="5" t="s">
        <v>157</v>
      </c>
      <c r="F53">
        <v>1977</v>
      </c>
      <c r="G53">
        <v>2002</v>
      </c>
    </row>
    <row r="54" spans="1:7" x14ac:dyDescent="0.35">
      <c r="A54">
        <v>53</v>
      </c>
      <c r="B54" s="5" t="s">
        <v>86</v>
      </c>
      <c r="C54" s="5" t="s">
        <v>152</v>
      </c>
      <c r="D54" s="5" t="s">
        <v>181</v>
      </c>
      <c r="E54" s="5" t="s">
        <v>160</v>
      </c>
      <c r="F54">
        <v>1971</v>
      </c>
      <c r="G54">
        <v>2014</v>
      </c>
    </row>
    <row r="55" spans="1:7" x14ac:dyDescent="0.35">
      <c r="A55">
        <v>54</v>
      </c>
      <c r="B55" s="5" t="s">
        <v>155</v>
      </c>
      <c r="C55" s="5" t="s">
        <v>72</v>
      </c>
      <c r="D55" s="5" t="s">
        <v>86</v>
      </c>
      <c r="E55" s="5" t="s">
        <v>64</v>
      </c>
      <c r="F55">
        <v>1982</v>
      </c>
      <c r="G55">
        <v>2010</v>
      </c>
    </row>
    <row r="56" spans="1:7" x14ac:dyDescent="0.35">
      <c r="A56">
        <v>55</v>
      </c>
      <c r="B56" s="5" t="s">
        <v>147</v>
      </c>
      <c r="C56" s="5" t="s">
        <v>49</v>
      </c>
      <c r="D56" s="5" t="s">
        <v>59</v>
      </c>
      <c r="E56" s="5" t="s">
        <v>179</v>
      </c>
      <c r="F56">
        <v>1981</v>
      </c>
      <c r="G56">
        <v>1999</v>
      </c>
    </row>
    <row r="57" spans="1:7" x14ac:dyDescent="0.35">
      <c r="A57">
        <v>56</v>
      </c>
      <c r="B57" s="5" t="s">
        <v>161</v>
      </c>
      <c r="C57" s="5" t="s">
        <v>51</v>
      </c>
      <c r="D57" s="5" t="s">
        <v>176</v>
      </c>
      <c r="E57" s="5" t="s">
        <v>93</v>
      </c>
      <c r="F57">
        <v>1980</v>
      </c>
      <c r="G57">
        <v>2008</v>
      </c>
    </row>
    <row r="58" spans="1:7" x14ac:dyDescent="0.35">
      <c r="A58">
        <v>57</v>
      </c>
      <c r="B58" s="5" t="s">
        <v>157</v>
      </c>
      <c r="C58" s="5" t="s">
        <v>184</v>
      </c>
      <c r="D58" s="5" t="s">
        <v>175</v>
      </c>
      <c r="E58" s="5" t="s">
        <v>42</v>
      </c>
      <c r="F58">
        <v>1970</v>
      </c>
      <c r="G58">
        <v>2001</v>
      </c>
    </row>
    <row r="59" spans="1:7" x14ac:dyDescent="0.35">
      <c r="A59">
        <v>58</v>
      </c>
      <c r="B59" s="5" t="s">
        <v>87</v>
      </c>
      <c r="C59" s="5" t="s">
        <v>72</v>
      </c>
      <c r="D59" s="5" t="s">
        <v>170</v>
      </c>
      <c r="E59" s="5" t="s">
        <v>154</v>
      </c>
      <c r="F59">
        <v>1970</v>
      </c>
      <c r="G59">
        <v>2003</v>
      </c>
    </row>
    <row r="60" spans="1:7" x14ac:dyDescent="0.35">
      <c r="A60">
        <v>59</v>
      </c>
      <c r="B60" s="5" t="s">
        <v>108</v>
      </c>
      <c r="C60" s="5" t="s">
        <v>158</v>
      </c>
      <c r="D60" s="5" t="s">
        <v>49</v>
      </c>
      <c r="E60" s="5" t="s">
        <v>169</v>
      </c>
      <c r="F60">
        <v>1979</v>
      </c>
      <c r="G60">
        <v>2014</v>
      </c>
    </row>
    <row r="61" spans="1:7" x14ac:dyDescent="0.35">
      <c r="A61">
        <v>60</v>
      </c>
      <c r="B61" s="5" t="s">
        <v>162</v>
      </c>
      <c r="C61" s="5" t="s">
        <v>88</v>
      </c>
      <c r="D61" s="5" t="s">
        <v>77</v>
      </c>
      <c r="E61" s="5" t="s">
        <v>177</v>
      </c>
      <c r="F61">
        <v>1973</v>
      </c>
      <c r="G61">
        <v>2007</v>
      </c>
    </row>
    <row r="62" spans="1:7" x14ac:dyDescent="0.35">
      <c r="A62">
        <v>61</v>
      </c>
      <c r="B62" s="5" t="s">
        <v>120</v>
      </c>
      <c r="C62" s="5" t="s">
        <v>160</v>
      </c>
      <c r="D62" s="5" t="s">
        <v>168</v>
      </c>
      <c r="E62" s="5" t="s">
        <v>69</v>
      </c>
      <c r="F62">
        <v>1978</v>
      </c>
      <c r="G62">
        <v>2001</v>
      </c>
    </row>
    <row r="63" spans="1:7" x14ac:dyDescent="0.35">
      <c r="A63">
        <v>62</v>
      </c>
      <c r="B63" s="5" t="s">
        <v>121</v>
      </c>
      <c r="C63" s="5" t="s">
        <v>143</v>
      </c>
      <c r="D63" s="5" t="s">
        <v>150</v>
      </c>
      <c r="E63" s="5" t="s">
        <v>87</v>
      </c>
      <c r="F63">
        <v>1976</v>
      </c>
      <c r="G63">
        <v>2008</v>
      </c>
    </row>
    <row r="64" spans="1:7" x14ac:dyDescent="0.35">
      <c r="A64">
        <v>63</v>
      </c>
      <c r="B64" s="5" t="s">
        <v>171</v>
      </c>
      <c r="C64" s="5" t="s">
        <v>94</v>
      </c>
      <c r="D64" s="5" t="s">
        <v>81</v>
      </c>
      <c r="E64" s="5" t="s">
        <v>111</v>
      </c>
      <c r="F64">
        <v>1973</v>
      </c>
      <c r="G64">
        <v>2004</v>
      </c>
    </row>
    <row r="65" spans="1:7" x14ac:dyDescent="0.35">
      <c r="A65">
        <v>64</v>
      </c>
      <c r="B65" s="5" t="s">
        <v>92</v>
      </c>
      <c r="C65" s="5" t="s">
        <v>133</v>
      </c>
      <c r="D65" s="5" t="s">
        <v>140</v>
      </c>
      <c r="E65" s="5" t="s">
        <v>37</v>
      </c>
      <c r="F65">
        <v>1982</v>
      </c>
      <c r="G65">
        <v>2007</v>
      </c>
    </row>
    <row r="66" spans="1:7" x14ac:dyDescent="0.35">
      <c r="A66">
        <v>65</v>
      </c>
      <c r="B66" s="5" t="s">
        <v>48</v>
      </c>
      <c r="C66" s="5" t="s">
        <v>38</v>
      </c>
      <c r="D66" s="5" t="s">
        <v>103</v>
      </c>
      <c r="E66" s="5" t="s">
        <v>141</v>
      </c>
      <c r="F66">
        <v>1973</v>
      </c>
      <c r="G66">
        <v>2005</v>
      </c>
    </row>
    <row r="67" spans="1:7" x14ac:dyDescent="0.35">
      <c r="A67">
        <v>66</v>
      </c>
      <c r="B67" s="5" t="s">
        <v>151</v>
      </c>
      <c r="C67" s="5" t="s">
        <v>164</v>
      </c>
      <c r="D67" s="5" t="s">
        <v>183</v>
      </c>
      <c r="E67" s="5" t="s">
        <v>76</v>
      </c>
      <c r="F67">
        <v>1973</v>
      </c>
      <c r="G67">
        <v>2000</v>
      </c>
    </row>
    <row r="68" spans="1:7" x14ac:dyDescent="0.35">
      <c r="A68">
        <v>67</v>
      </c>
      <c r="B68" s="5" t="s">
        <v>47</v>
      </c>
      <c r="C68" s="5" t="s">
        <v>96</v>
      </c>
      <c r="D68" s="5" t="s">
        <v>166</v>
      </c>
      <c r="E68" s="5" t="s">
        <v>137</v>
      </c>
      <c r="F68">
        <v>1976</v>
      </c>
      <c r="G68">
        <v>2001</v>
      </c>
    </row>
    <row r="69" spans="1:7" x14ac:dyDescent="0.35">
      <c r="A69">
        <v>68</v>
      </c>
      <c r="B69" s="5" t="s">
        <v>64</v>
      </c>
      <c r="C69" s="5" t="s">
        <v>109</v>
      </c>
      <c r="D69" s="5" t="s">
        <v>101</v>
      </c>
      <c r="E69" s="5" t="s">
        <v>41</v>
      </c>
      <c r="F69">
        <v>1983</v>
      </c>
      <c r="G69">
        <v>2002</v>
      </c>
    </row>
    <row r="70" spans="1:7" x14ac:dyDescent="0.35">
      <c r="A70">
        <v>69</v>
      </c>
      <c r="B70" s="5" t="s">
        <v>109</v>
      </c>
      <c r="C70" s="5" t="s">
        <v>70</v>
      </c>
      <c r="D70" s="5" t="s">
        <v>141</v>
      </c>
      <c r="E70" s="5" t="s">
        <v>135</v>
      </c>
      <c r="F70">
        <v>1980</v>
      </c>
      <c r="G70">
        <v>2014</v>
      </c>
    </row>
    <row r="71" spans="1:7" x14ac:dyDescent="0.35">
      <c r="A71">
        <v>70</v>
      </c>
      <c r="B71" s="5" t="s">
        <v>49</v>
      </c>
      <c r="C71" s="5" t="s">
        <v>157</v>
      </c>
      <c r="D71" s="5" t="s">
        <v>187</v>
      </c>
      <c r="E71" s="5" t="s">
        <v>119</v>
      </c>
      <c r="F71">
        <v>1973</v>
      </c>
      <c r="G71">
        <v>2014</v>
      </c>
    </row>
    <row r="72" spans="1:7" x14ac:dyDescent="0.35">
      <c r="A72">
        <v>71</v>
      </c>
      <c r="B72" s="5" t="s">
        <v>36</v>
      </c>
      <c r="C72" s="5" t="s">
        <v>117</v>
      </c>
      <c r="D72" s="5" t="s">
        <v>112</v>
      </c>
      <c r="E72" s="5" t="s">
        <v>145</v>
      </c>
      <c r="F72">
        <v>1978</v>
      </c>
      <c r="G72">
        <v>2008</v>
      </c>
    </row>
    <row r="73" spans="1:7" x14ac:dyDescent="0.35">
      <c r="A73">
        <v>72</v>
      </c>
      <c r="B73" s="5" t="s">
        <v>90</v>
      </c>
      <c r="C73" s="5" t="s">
        <v>40</v>
      </c>
      <c r="D73" s="5" t="s">
        <v>64</v>
      </c>
      <c r="E73" s="5" t="s">
        <v>36</v>
      </c>
      <c r="F73">
        <v>1974</v>
      </c>
      <c r="G73">
        <v>2002</v>
      </c>
    </row>
    <row r="74" spans="1:7" x14ac:dyDescent="0.35">
      <c r="A74">
        <v>73</v>
      </c>
      <c r="B74" s="5" t="s">
        <v>76</v>
      </c>
      <c r="C74" s="5" t="s">
        <v>185</v>
      </c>
      <c r="D74" s="5" t="s">
        <v>70</v>
      </c>
      <c r="E74" s="5" t="s">
        <v>144</v>
      </c>
      <c r="F74">
        <v>1978</v>
      </c>
      <c r="G74">
        <v>2016</v>
      </c>
    </row>
    <row r="75" spans="1:7" x14ac:dyDescent="0.35">
      <c r="A75">
        <v>74</v>
      </c>
      <c r="B75" s="5" t="s">
        <v>120</v>
      </c>
      <c r="C75" s="5" t="s">
        <v>145</v>
      </c>
      <c r="D75" s="5" t="s">
        <v>161</v>
      </c>
      <c r="E75" s="5" t="s">
        <v>163</v>
      </c>
      <c r="F75">
        <v>1976</v>
      </c>
      <c r="G75">
        <v>2012</v>
      </c>
    </row>
    <row r="76" spans="1:7" x14ac:dyDescent="0.35">
      <c r="A76">
        <v>75</v>
      </c>
      <c r="B76" s="5" t="s">
        <v>134</v>
      </c>
      <c r="C76" s="5" t="s">
        <v>177</v>
      </c>
      <c r="D76" s="5" t="s">
        <v>142</v>
      </c>
      <c r="E76" s="5" t="s">
        <v>105</v>
      </c>
      <c r="F76">
        <v>1976</v>
      </c>
      <c r="G76">
        <v>2006</v>
      </c>
    </row>
    <row r="77" spans="1:7" x14ac:dyDescent="0.35">
      <c r="A77">
        <v>76</v>
      </c>
      <c r="B77" s="5" t="s">
        <v>154</v>
      </c>
      <c r="C77" s="5" t="s">
        <v>143</v>
      </c>
      <c r="D77" s="5" t="s">
        <v>102</v>
      </c>
      <c r="E77" s="5" t="s">
        <v>124</v>
      </c>
      <c r="F77">
        <v>1983</v>
      </c>
      <c r="G77">
        <v>2008</v>
      </c>
    </row>
    <row r="78" spans="1:7" x14ac:dyDescent="0.35">
      <c r="A78">
        <v>77</v>
      </c>
      <c r="B78" s="5" t="s">
        <v>111</v>
      </c>
      <c r="C78" s="5" t="s">
        <v>144</v>
      </c>
      <c r="D78" s="5" t="s">
        <v>67</v>
      </c>
      <c r="E78" s="5" t="s">
        <v>126</v>
      </c>
      <c r="F78">
        <v>1975</v>
      </c>
      <c r="G78">
        <v>2012</v>
      </c>
    </row>
    <row r="79" spans="1:7" x14ac:dyDescent="0.35">
      <c r="A79">
        <v>78</v>
      </c>
      <c r="B79" s="5" t="s">
        <v>50</v>
      </c>
      <c r="C79" s="5" t="s">
        <v>166</v>
      </c>
      <c r="D79" s="5" t="s">
        <v>135</v>
      </c>
      <c r="E79" s="5" t="s">
        <v>138</v>
      </c>
      <c r="F79">
        <v>1982</v>
      </c>
      <c r="G79">
        <v>2011</v>
      </c>
    </row>
    <row r="80" spans="1:7" x14ac:dyDescent="0.35">
      <c r="A80">
        <v>79</v>
      </c>
      <c r="B80" s="5" t="s">
        <v>179</v>
      </c>
      <c r="C80" s="5" t="s">
        <v>108</v>
      </c>
      <c r="D80" s="5" t="s">
        <v>127</v>
      </c>
      <c r="E80" s="5" t="s">
        <v>137</v>
      </c>
      <c r="F80">
        <v>1978</v>
      </c>
      <c r="G80">
        <v>2004</v>
      </c>
    </row>
    <row r="81" spans="1:7" x14ac:dyDescent="0.35">
      <c r="A81">
        <v>80</v>
      </c>
      <c r="B81" s="5" t="s">
        <v>151</v>
      </c>
      <c r="C81" s="5" t="s">
        <v>108</v>
      </c>
      <c r="D81" s="5" t="s">
        <v>160</v>
      </c>
      <c r="E81" s="5" t="s">
        <v>142</v>
      </c>
      <c r="F81">
        <v>1976</v>
      </c>
      <c r="G81">
        <v>1999</v>
      </c>
    </row>
    <row r="82" spans="1:7" x14ac:dyDescent="0.35">
      <c r="A82">
        <v>81</v>
      </c>
      <c r="B82" s="5" t="s">
        <v>179</v>
      </c>
      <c r="C82" s="5" t="s">
        <v>111</v>
      </c>
      <c r="D82" s="5" t="s">
        <v>52</v>
      </c>
      <c r="E82" s="5" t="s">
        <v>119</v>
      </c>
      <c r="F82">
        <v>1978</v>
      </c>
      <c r="G82">
        <v>2001</v>
      </c>
    </row>
    <row r="83" spans="1:7" x14ac:dyDescent="0.35">
      <c r="A83">
        <v>82</v>
      </c>
      <c r="B83" s="5" t="s">
        <v>186</v>
      </c>
      <c r="C83" s="5" t="s">
        <v>116</v>
      </c>
      <c r="D83" s="5" t="s">
        <v>165</v>
      </c>
      <c r="E83" s="5" t="s">
        <v>74</v>
      </c>
      <c r="F83">
        <v>1971</v>
      </c>
      <c r="G83">
        <v>2008</v>
      </c>
    </row>
    <row r="84" spans="1:7" x14ac:dyDescent="0.35">
      <c r="A84">
        <v>83</v>
      </c>
      <c r="B84" s="5" t="s">
        <v>80</v>
      </c>
      <c r="C84" s="5" t="s">
        <v>133</v>
      </c>
      <c r="D84" s="5" t="s">
        <v>138</v>
      </c>
      <c r="E84" s="5" t="s">
        <v>176</v>
      </c>
      <c r="F84">
        <v>1983</v>
      </c>
      <c r="G84">
        <v>2007</v>
      </c>
    </row>
    <row r="85" spans="1:7" x14ac:dyDescent="0.35">
      <c r="A85">
        <v>84</v>
      </c>
      <c r="B85" s="5" t="s">
        <v>131</v>
      </c>
      <c r="C85" s="5" t="s">
        <v>183</v>
      </c>
      <c r="D85" s="5" t="s">
        <v>143</v>
      </c>
      <c r="E85" s="5" t="s">
        <v>165</v>
      </c>
      <c r="F85">
        <v>1986</v>
      </c>
      <c r="G85">
        <v>1999</v>
      </c>
    </row>
    <row r="86" spans="1:7" x14ac:dyDescent="0.35">
      <c r="A86">
        <v>85</v>
      </c>
      <c r="B86" s="5" t="s">
        <v>168</v>
      </c>
      <c r="C86" s="5" t="s">
        <v>118</v>
      </c>
      <c r="D86" s="5" t="s">
        <v>149</v>
      </c>
      <c r="E86" s="5" t="s">
        <v>60</v>
      </c>
      <c r="F86">
        <v>1986</v>
      </c>
      <c r="G86">
        <v>2006</v>
      </c>
    </row>
    <row r="87" spans="1:7" x14ac:dyDescent="0.35">
      <c r="A87">
        <v>86</v>
      </c>
      <c r="B87" s="5" t="s">
        <v>53</v>
      </c>
      <c r="C87" s="5" t="s">
        <v>58</v>
      </c>
      <c r="D87" s="5" t="s">
        <v>54</v>
      </c>
      <c r="E87" s="5" t="s">
        <v>124</v>
      </c>
      <c r="F87">
        <v>1981</v>
      </c>
      <c r="G87">
        <v>2016</v>
      </c>
    </row>
    <row r="88" spans="1:7" x14ac:dyDescent="0.35">
      <c r="A88">
        <v>87</v>
      </c>
      <c r="B88" s="5" t="s">
        <v>115</v>
      </c>
      <c r="C88" s="5" t="s">
        <v>43</v>
      </c>
      <c r="D88" s="5" t="s">
        <v>77</v>
      </c>
      <c r="E88" s="5" t="s">
        <v>108</v>
      </c>
      <c r="F88">
        <v>1977</v>
      </c>
      <c r="G88">
        <v>2012</v>
      </c>
    </row>
    <row r="89" spans="1:7" x14ac:dyDescent="0.35">
      <c r="A89">
        <v>88</v>
      </c>
      <c r="B89" s="5" t="s">
        <v>125</v>
      </c>
      <c r="C89" s="5" t="s">
        <v>104</v>
      </c>
      <c r="D89" s="5" t="s">
        <v>43</v>
      </c>
      <c r="E89" s="5" t="s">
        <v>61</v>
      </c>
      <c r="F89">
        <v>1971</v>
      </c>
      <c r="G89">
        <v>2002</v>
      </c>
    </row>
    <row r="90" spans="1:7" x14ac:dyDescent="0.35">
      <c r="A90">
        <v>89</v>
      </c>
      <c r="B90" s="5" t="s">
        <v>86</v>
      </c>
      <c r="C90" s="5" t="s">
        <v>167</v>
      </c>
      <c r="D90" s="5" t="s">
        <v>145</v>
      </c>
      <c r="E90" s="5" t="s">
        <v>165</v>
      </c>
      <c r="F90">
        <v>1975</v>
      </c>
      <c r="G90">
        <v>2003</v>
      </c>
    </row>
    <row r="91" spans="1:7" x14ac:dyDescent="0.35">
      <c r="A91">
        <v>90</v>
      </c>
      <c r="B91" s="5" t="s">
        <v>115</v>
      </c>
      <c r="C91" s="5" t="s">
        <v>107</v>
      </c>
      <c r="D91" s="5" t="s">
        <v>43</v>
      </c>
      <c r="E91" s="5" t="s">
        <v>75</v>
      </c>
      <c r="F91">
        <v>1976</v>
      </c>
      <c r="G91">
        <v>2013</v>
      </c>
    </row>
    <row r="92" spans="1:7" x14ac:dyDescent="0.35">
      <c r="A92">
        <v>91</v>
      </c>
      <c r="B92" s="5" t="s">
        <v>171</v>
      </c>
      <c r="C92" s="5" t="s">
        <v>36</v>
      </c>
      <c r="D92" s="5" t="s">
        <v>37</v>
      </c>
      <c r="E92" s="5" t="s">
        <v>90</v>
      </c>
      <c r="F92">
        <v>1978</v>
      </c>
      <c r="G92">
        <v>2001</v>
      </c>
    </row>
    <row r="93" spans="1:7" x14ac:dyDescent="0.35">
      <c r="A93">
        <v>92</v>
      </c>
      <c r="B93" s="5" t="s">
        <v>55</v>
      </c>
      <c r="C93" s="5" t="s">
        <v>141</v>
      </c>
      <c r="D93" s="5" t="s">
        <v>52</v>
      </c>
      <c r="E93" s="5" t="s">
        <v>102</v>
      </c>
      <c r="F93">
        <v>1984</v>
      </c>
      <c r="G93">
        <v>2007</v>
      </c>
    </row>
    <row r="94" spans="1:7" x14ac:dyDescent="0.35">
      <c r="A94">
        <v>93</v>
      </c>
      <c r="B94" s="5" t="s">
        <v>131</v>
      </c>
      <c r="C94" s="5" t="s">
        <v>182</v>
      </c>
      <c r="D94" s="5" t="s">
        <v>156</v>
      </c>
      <c r="E94" s="5" t="s">
        <v>141</v>
      </c>
      <c r="F94">
        <v>1980</v>
      </c>
      <c r="G94">
        <v>2017</v>
      </c>
    </row>
    <row r="95" spans="1:7" x14ac:dyDescent="0.35">
      <c r="A95">
        <v>94</v>
      </c>
      <c r="B95" s="5" t="s">
        <v>73</v>
      </c>
      <c r="C95" s="5" t="s">
        <v>176</v>
      </c>
      <c r="D95" s="5" t="s">
        <v>86</v>
      </c>
      <c r="E95" s="5" t="s">
        <v>187</v>
      </c>
      <c r="F95">
        <v>1985</v>
      </c>
      <c r="G95">
        <v>1999</v>
      </c>
    </row>
    <row r="96" spans="1:7" x14ac:dyDescent="0.35">
      <c r="A96">
        <v>95</v>
      </c>
      <c r="B96" s="5" t="s">
        <v>124</v>
      </c>
      <c r="C96" s="5" t="s">
        <v>180</v>
      </c>
      <c r="D96" s="5" t="s">
        <v>145</v>
      </c>
      <c r="E96" s="5" t="s">
        <v>67</v>
      </c>
      <c r="F96">
        <v>1984</v>
      </c>
      <c r="G96">
        <v>2001</v>
      </c>
    </row>
    <row r="97" spans="1:7" x14ac:dyDescent="0.35">
      <c r="A97">
        <v>96</v>
      </c>
      <c r="B97" s="5" t="s">
        <v>92</v>
      </c>
      <c r="C97" s="5" t="s">
        <v>107</v>
      </c>
      <c r="D97" s="5" t="s">
        <v>63</v>
      </c>
      <c r="E97" s="5" t="s">
        <v>96</v>
      </c>
      <c r="F97">
        <v>1978</v>
      </c>
      <c r="G97">
        <v>2017</v>
      </c>
    </row>
    <row r="98" spans="1:7" x14ac:dyDescent="0.35">
      <c r="A98">
        <v>97</v>
      </c>
      <c r="B98" s="5" t="s">
        <v>151</v>
      </c>
      <c r="C98" s="5" t="s">
        <v>54</v>
      </c>
      <c r="D98" s="5" t="s">
        <v>115</v>
      </c>
      <c r="E98" s="5" t="s">
        <v>145</v>
      </c>
      <c r="F98">
        <v>1972</v>
      </c>
      <c r="G98">
        <v>1999</v>
      </c>
    </row>
    <row r="99" spans="1:7" x14ac:dyDescent="0.35">
      <c r="A99">
        <v>98</v>
      </c>
      <c r="B99" s="5" t="s">
        <v>150</v>
      </c>
      <c r="C99" s="5" t="s">
        <v>96</v>
      </c>
      <c r="D99" s="5" t="s">
        <v>112</v>
      </c>
      <c r="E99" s="5" t="s">
        <v>81</v>
      </c>
      <c r="F99">
        <v>1981</v>
      </c>
      <c r="G99">
        <v>2014</v>
      </c>
    </row>
    <row r="100" spans="1:7" x14ac:dyDescent="0.35">
      <c r="A100">
        <v>99</v>
      </c>
      <c r="B100" s="5" t="s">
        <v>86</v>
      </c>
      <c r="C100" s="5" t="s">
        <v>153</v>
      </c>
      <c r="D100" s="5" t="s">
        <v>104</v>
      </c>
      <c r="E100" s="5" t="s">
        <v>144</v>
      </c>
      <c r="F100">
        <v>1984</v>
      </c>
      <c r="G100">
        <v>2008</v>
      </c>
    </row>
    <row r="101" spans="1:7" x14ac:dyDescent="0.35">
      <c r="A101">
        <v>100</v>
      </c>
      <c r="B101" s="5" t="s">
        <v>56</v>
      </c>
      <c r="C101" s="5" t="s">
        <v>67</v>
      </c>
      <c r="D101" s="5" t="s">
        <v>147</v>
      </c>
      <c r="E101" s="5" t="s">
        <v>37</v>
      </c>
      <c r="F101">
        <v>1987</v>
      </c>
      <c r="G101">
        <v>2008</v>
      </c>
    </row>
    <row r="102" spans="1:7" x14ac:dyDescent="0.35">
      <c r="A102">
        <v>101</v>
      </c>
      <c r="B102" s="5" t="s">
        <v>136</v>
      </c>
      <c r="C102" s="5" t="s">
        <v>92</v>
      </c>
      <c r="D102" s="5" t="s">
        <v>137</v>
      </c>
      <c r="E102" s="5" t="s">
        <v>128</v>
      </c>
      <c r="F102">
        <v>1987</v>
      </c>
      <c r="G102">
        <v>2015</v>
      </c>
    </row>
    <row r="103" spans="1:7" x14ac:dyDescent="0.35">
      <c r="A103">
        <v>102</v>
      </c>
      <c r="B103" s="5" t="s">
        <v>84</v>
      </c>
      <c r="C103" s="5" t="s">
        <v>186</v>
      </c>
      <c r="D103" s="5" t="s">
        <v>105</v>
      </c>
      <c r="E103" s="5" t="s">
        <v>182</v>
      </c>
      <c r="F103">
        <v>1982</v>
      </c>
      <c r="G103">
        <v>2007</v>
      </c>
    </row>
    <row r="104" spans="1:7" x14ac:dyDescent="0.35">
      <c r="A104">
        <v>103</v>
      </c>
      <c r="B104" s="5" t="s">
        <v>41</v>
      </c>
      <c r="C104" s="5" t="s">
        <v>107</v>
      </c>
      <c r="D104" s="5" t="s">
        <v>72</v>
      </c>
      <c r="E104" s="5" t="s">
        <v>158</v>
      </c>
      <c r="F104">
        <v>1981</v>
      </c>
      <c r="G104">
        <v>2005</v>
      </c>
    </row>
    <row r="105" spans="1:7" x14ac:dyDescent="0.35">
      <c r="A105">
        <v>104</v>
      </c>
      <c r="B105" s="5" t="s">
        <v>138</v>
      </c>
      <c r="C105" s="5" t="s">
        <v>37</v>
      </c>
      <c r="D105" s="5" t="s">
        <v>53</v>
      </c>
      <c r="E105" s="5" t="s">
        <v>48</v>
      </c>
      <c r="F105">
        <v>1980</v>
      </c>
      <c r="G105">
        <v>2017</v>
      </c>
    </row>
    <row r="106" spans="1:7" x14ac:dyDescent="0.35">
      <c r="A106">
        <v>105</v>
      </c>
      <c r="B106" s="5" t="s">
        <v>112</v>
      </c>
      <c r="C106" s="5" t="s">
        <v>176</v>
      </c>
      <c r="D106" s="5" t="s">
        <v>187</v>
      </c>
      <c r="E106" s="5" t="s">
        <v>85</v>
      </c>
      <c r="F106">
        <v>1982</v>
      </c>
      <c r="G106">
        <v>1999</v>
      </c>
    </row>
    <row r="107" spans="1:7" x14ac:dyDescent="0.35">
      <c r="A107">
        <v>106</v>
      </c>
      <c r="B107" s="5" t="s">
        <v>97</v>
      </c>
      <c r="C107" s="5" t="s">
        <v>118</v>
      </c>
      <c r="D107" s="5" t="s">
        <v>58</v>
      </c>
      <c r="E107" s="5" t="s">
        <v>64</v>
      </c>
      <c r="F107">
        <v>1974</v>
      </c>
      <c r="G107">
        <v>2017</v>
      </c>
    </row>
    <row r="108" spans="1:7" x14ac:dyDescent="0.35">
      <c r="A108">
        <v>107</v>
      </c>
      <c r="B108" s="5" t="s">
        <v>179</v>
      </c>
      <c r="C108" s="5" t="s">
        <v>92</v>
      </c>
      <c r="D108" s="5" t="s">
        <v>51</v>
      </c>
      <c r="E108" s="5" t="s">
        <v>148</v>
      </c>
      <c r="F108">
        <v>1981</v>
      </c>
      <c r="G108">
        <v>2012</v>
      </c>
    </row>
    <row r="109" spans="1:7" x14ac:dyDescent="0.35">
      <c r="A109">
        <v>108</v>
      </c>
      <c r="B109" s="5" t="s">
        <v>116</v>
      </c>
      <c r="C109" s="5" t="s">
        <v>172</v>
      </c>
      <c r="D109" s="5" t="s">
        <v>47</v>
      </c>
      <c r="E109" s="5" t="s">
        <v>107</v>
      </c>
      <c r="F109">
        <v>1975</v>
      </c>
      <c r="G109">
        <v>2012</v>
      </c>
    </row>
    <row r="110" spans="1:7" x14ac:dyDescent="0.35">
      <c r="A110">
        <v>109</v>
      </c>
      <c r="B110" s="5" t="s">
        <v>110</v>
      </c>
      <c r="C110" s="5" t="s">
        <v>99</v>
      </c>
      <c r="D110" s="5" t="s">
        <v>145</v>
      </c>
      <c r="E110" s="5" t="s">
        <v>170</v>
      </c>
      <c r="F110">
        <v>1973</v>
      </c>
      <c r="G110">
        <v>2003</v>
      </c>
    </row>
    <row r="111" spans="1:7" x14ac:dyDescent="0.35">
      <c r="A111">
        <v>110</v>
      </c>
      <c r="B111" s="5" t="s">
        <v>81</v>
      </c>
      <c r="C111" s="5" t="s">
        <v>161</v>
      </c>
      <c r="D111" s="5" t="s">
        <v>74</v>
      </c>
      <c r="E111" s="5" t="s">
        <v>79</v>
      </c>
      <c r="F111">
        <v>1980</v>
      </c>
      <c r="G111">
        <v>2012</v>
      </c>
    </row>
    <row r="112" spans="1:7" x14ac:dyDescent="0.35">
      <c r="A112">
        <v>111</v>
      </c>
      <c r="B112" s="5" t="s">
        <v>173</v>
      </c>
      <c r="C112" s="5" t="s">
        <v>120</v>
      </c>
      <c r="D112" s="5" t="s">
        <v>123</v>
      </c>
      <c r="E112" s="5" t="s">
        <v>147</v>
      </c>
      <c r="F112">
        <v>1976</v>
      </c>
      <c r="G112">
        <v>2009</v>
      </c>
    </row>
    <row r="113" spans="1:7" x14ac:dyDescent="0.35">
      <c r="A113">
        <v>112</v>
      </c>
      <c r="B113" s="5" t="s">
        <v>37</v>
      </c>
      <c r="C113" s="5" t="s">
        <v>74</v>
      </c>
      <c r="D113" s="5" t="s">
        <v>116</v>
      </c>
      <c r="E113" s="5" t="s">
        <v>79</v>
      </c>
      <c r="F113">
        <v>1970</v>
      </c>
      <c r="G113">
        <v>2003</v>
      </c>
    </row>
    <row r="114" spans="1:7" x14ac:dyDescent="0.35">
      <c r="A114">
        <v>113</v>
      </c>
      <c r="B114" s="5" t="s">
        <v>157</v>
      </c>
      <c r="C114" s="5" t="s">
        <v>82</v>
      </c>
      <c r="D114" s="5" t="s">
        <v>129</v>
      </c>
      <c r="E114" s="5" t="s">
        <v>172</v>
      </c>
      <c r="F114">
        <v>1978</v>
      </c>
      <c r="G114">
        <v>2010</v>
      </c>
    </row>
    <row r="115" spans="1:7" x14ac:dyDescent="0.35">
      <c r="A115">
        <v>114</v>
      </c>
      <c r="B115" s="5" t="s">
        <v>127</v>
      </c>
      <c r="C115" s="5" t="s">
        <v>73</v>
      </c>
      <c r="D115" s="5" t="s">
        <v>185</v>
      </c>
      <c r="E115" s="5" t="s">
        <v>101</v>
      </c>
      <c r="F115">
        <v>1981</v>
      </c>
      <c r="G115">
        <v>2016</v>
      </c>
    </row>
    <row r="116" spans="1:7" x14ac:dyDescent="0.35">
      <c r="A116">
        <v>115</v>
      </c>
      <c r="B116" s="5" t="s">
        <v>137</v>
      </c>
      <c r="C116" s="5" t="s">
        <v>162</v>
      </c>
      <c r="D116" s="5" t="s">
        <v>96</v>
      </c>
      <c r="E116" s="5" t="s">
        <v>66</v>
      </c>
      <c r="F116">
        <v>1987</v>
      </c>
      <c r="G116">
        <v>2008</v>
      </c>
    </row>
    <row r="117" spans="1:7" x14ac:dyDescent="0.35">
      <c r="A117">
        <v>116</v>
      </c>
      <c r="B117" s="5" t="s">
        <v>140</v>
      </c>
      <c r="C117" s="5" t="s">
        <v>181</v>
      </c>
      <c r="D117" s="5" t="s">
        <v>111</v>
      </c>
      <c r="E117" s="5" t="s">
        <v>143</v>
      </c>
      <c r="F117">
        <v>1975</v>
      </c>
      <c r="G117">
        <v>2014</v>
      </c>
    </row>
    <row r="118" spans="1:7" x14ac:dyDescent="0.35">
      <c r="A118">
        <v>117</v>
      </c>
      <c r="B118" s="5" t="s">
        <v>70</v>
      </c>
      <c r="C118" s="5" t="s">
        <v>129</v>
      </c>
      <c r="D118" s="5" t="s">
        <v>141</v>
      </c>
      <c r="E118" s="5" t="s">
        <v>166</v>
      </c>
      <c r="F118">
        <v>1981</v>
      </c>
      <c r="G118">
        <v>2005</v>
      </c>
    </row>
    <row r="119" spans="1:7" x14ac:dyDescent="0.35">
      <c r="A119">
        <v>118</v>
      </c>
      <c r="B119" s="5" t="s">
        <v>179</v>
      </c>
      <c r="C119" s="5" t="s">
        <v>69</v>
      </c>
      <c r="D119" s="5" t="s">
        <v>86</v>
      </c>
      <c r="E119" s="5" t="s">
        <v>148</v>
      </c>
      <c r="F119">
        <v>1981</v>
      </c>
      <c r="G119">
        <v>2012</v>
      </c>
    </row>
    <row r="120" spans="1:7" x14ac:dyDescent="0.35">
      <c r="A120">
        <v>119</v>
      </c>
      <c r="B120" s="5" t="s">
        <v>148</v>
      </c>
      <c r="C120" s="5" t="s">
        <v>103</v>
      </c>
      <c r="D120" s="5" t="s">
        <v>131</v>
      </c>
      <c r="E120" s="5" t="s">
        <v>69</v>
      </c>
      <c r="F120">
        <v>1984</v>
      </c>
      <c r="G120">
        <v>2012</v>
      </c>
    </row>
    <row r="121" spans="1:7" x14ac:dyDescent="0.35">
      <c r="A121">
        <v>120</v>
      </c>
      <c r="B121" s="5" t="s">
        <v>99</v>
      </c>
      <c r="C121" s="5" t="s">
        <v>151</v>
      </c>
      <c r="D121" s="5" t="s">
        <v>150</v>
      </c>
      <c r="E121" s="5" t="s">
        <v>69</v>
      </c>
      <c r="F121">
        <v>1983</v>
      </c>
      <c r="G121">
        <v>2008</v>
      </c>
    </row>
    <row r="122" spans="1:7" x14ac:dyDescent="0.35">
      <c r="A122">
        <v>121</v>
      </c>
      <c r="B122" s="5" t="s">
        <v>167</v>
      </c>
      <c r="C122" s="5" t="s">
        <v>108</v>
      </c>
      <c r="D122" s="5" t="s">
        <v>150</v>
      </c>
      <c r="E122" s="5" t="s">
        <v>45</v>
      </c>
      <c r="F122">
        <v>1984</v>
      </c>
      <c r="G122">
        <v>2014</v>
      </c>
    </row>
    <row r="123" spans="1:7" x14ac:dyDescent="0.35">
      <c r="A123">
        <v>122</v>
      </c>
      <c r="B123" s="5" t="s">
        <v>121</v>
      </c>
      <c r="C123" s="5" t="s">
        <v>63</v>
      </c>
      <c r="D123" s="5" t="s">
        <v>124</v>
      </c>
      <c r="E123" s="5" t="s">
        <v>183</v>
      </c>
      <c r="F123">
        <v>1986</v>
      </c>
      <c r="G123">
        <v>2005</v>
      </c>
    </row>
    <row r="124" spans="1:7" x14ac:dyDescent="0.35">
      <c r="A124">
        <v>123</v>
      </c>
      <c r="B124" s="5" t="s">
        <v>41</v>
      </c>
      <c r="C124" s="5" t="s">
        <v>160</v>
      </c>
      <c r="D124" s="5" t="s">
        <v>118</v>
      </c>
      <c r="E124" s="5" t="s">
        <v>129</v>
      </c>
      <c r="F124">
        <v>1974</v>
      </c>
      <c r="G124">
        <v>1999</v>
      </c>
    </row>
    <row r="125" spans="1:7" x14ac:dyDescent="0.35">
      <c r="A125">
        <v>124</v>
      </c>
      <c r="B125" s="5" t="s">
        <v>170</v>
      </c>
      <c r="C125" s="5" t="s">
        <v>152</v>
      </c>
      <c r="D125" s="5" t="s">
        <v>91</v>
      </c>
      <c r="E125" s="5" t="s">
        <v>45</v>
      </c>
      <c r="F125">
        <v>1976</v>
      </c>
      <c r="G125">
        <v>2008</v>
      </c>
    </row>
    <row r="126" spans="1:7" x14ac:dyDescent="0.35">
      <c r="A126">
        <v>125</v>
      </c>
      <c r="B126" s="5" t="s">
        <v>76</v>
      </c>
      <c r="C126" s="5" t="s">
        <v>170</v>
      </c>
      <c r="D126" s="5" t="s">
        <v>37</v>
      </c>
      <c r="E126" s="5" t="s">
        <v>94</v>
      </c>
      <c r="F126">
        <v>1986</v>
      </c>
      <c r="G126">
        <v>2009</v>
      </c>
    </row>
    <row r="127" spans="1:7" x14ac:dyDescent="0.35">
      <c r="A127">
        <v>126</v>
      </c>
      <c r="B127" s="5" t="s">
        <v>179</v>
      </c>
      <c r="C127" s="5" t="s">
        <v>81</v>
      </c>
      <c r="D127" s="5" t="s">
        <v>76</v>
      </c>
      <c r="E127" s="5" t="s">
        <v>136</v>
      </c>
      <c r="F127">
        <v>1985</v>
      </c>
      <c r="G127">
        <v>2002</v>
      </c>
    </row>
    <row r="128" spans="1:7" x14ac:dyDescent="0.35">
      <c r="A128">
        <v>127</v>
      </c>
      <c r="B128" s="5" t="s">
        <v>112</v>
      </c>
      <c r="C128" s="5" t="s">
        <v>157</v>
      </c>
      <c r="D128" s="5" t="s">
        <v>135</v>
      </c>
      <c r="E128" s="5" t="s">
        <v>50</v>
      </c>
      <c r="F128">
        <v>1972</v>
      </c>
      <c r="G128">
        <v>2008</v>
      </c>
    </row>
    <row r="129" spans="1:7" x14ac:dyDescent="0.35">
      <c r="A129">
        <v>128</v>
      </c>
      <c r="B129" s="5" t="s">
        <v>85</v>
      </c>
      <c r="C129" s="5" t="s">
        <v>65</v>
      </c>
      <c r="D129" s="5" t="s">
        <v>59</v>
      </c>
      <c r="E129" s="5" t="s">
        <v>46</v>
      </c>
      <c r="F129">
        <v>1971</v>
      </c>
      <c r="G129">
        <v>2008</v>
      </c>
    </row>
    <row r="130" spans="1:7" x14ac:dyDescent="0.35">
      <c r="A130">
        <v>129</v>
      </c>
      <c r="B130" s="5" t="s">
        <v>132</v>
      </c>
      <c r="C130" s="5" t="s">
        <v>121</v>
      </c>
      <c r="D130" s="5" t="s">
        <v>47</v>
      </c>
      <c r="E130" s="5" t="s">
        <v>161</v>
      </c>
      <c r="F130">
        <v>1982</v>
      </c>
      <c r="G130">
        <v>2001</v>
      </c>
    </row>
    <row r="131" spans="1:7" x14ac:dyDescent="0.35">
      <c r="A131" s="6">
        <v>130</v>
      </c>
      <c r="B131" s="7" t="s">
        <v>51</v>
      </c>
      <c r="C131" s="7" t="s">
        <v>157</v>
      </c>
      <c r="D131" s="7" t="s">
        <v>81</v>
      </c>
      <c r="E131" s="7" t="s">
        <v>72</v>
      </c>
      <c r="F131" s="6">
        <v>1984</v>
      </c>
      <c r="G131" s="6">
        <v>2004</v>
      </c>
    </row>
    <row r="132" spans="1:7" x14ac:dyDescent="0.35">
      <c r="A132">
        <v>131</v>
      </c>
      <c r="B132" s="5" t="s">
        <v>89</v>
      </c>
      <c r="C132" s="5" t="s">
        <v>186</v>
      </c>
      <c r="D132" s="5" t="s">
        <v>108</v>
      </c>
      <c r="E132" s="5" t="s">
        <v>59</v>
      </c>
      <c r="F132">
        <v>1982</v>
      </c>
      <c r="G132">
        <v>2014</v>
      </c>
    </row>
    <row r="133" spans="1:7" x14ac:dyDescent="0.35">
      <c r="A133">
        <v>132</v>
      </c>
      <c r="B133" s="5" t="s">
        <v>168</v>
      </c>
      <c r="C133" s="5" t="s">
        <v>159</v>
      </c>
      <c r="D133" s="5" t="s">
        <v>107</v>
      </c>
      <c r="E133" s="5" t="s">
        <v>105</v>
      </c>
      <c r="F133">
        <v>1980</v>
      </c>
      <c r="G133">
        <v>2016</v>
      </c>
    </row>
    <row r="134" spans="1:7" x14ac:dyDescent="0.35">
      <c r="A134">
        <v>133</v>
      </c>
      <c r="B134" s="5" t="s">
        <v>138</v>
      </c>
      <c r="C134" s="5" t="s">
        <v>136</v>
      </c>
      <c r="D134" s="5" t="s">
        <v>119</v>
      </c>
      <c r="E134" s="5" t="s">
        <v>118</v>
      </c>
      <c r="F134">
        <v>1984</v>
      </c>
      <c r="G134">
        <v>2001</v>
      </c>
    </row>
    <row r="135" spans="1:7" x14ac:dyDescent="0.35">
      <c r="A135">
        <v>134</v>
      </c>
      <c r="B135" s="5" t="s">
        <v>97</v>
      </c>
      <c r="C135" s="5" t="s">
        <v>134</v>
      </c>
      <c r="D135" s="5" t="s">
        <v>180</v>
      </c>
      <c r="E135" s="5" t="s">
        <v>93</v>
      </c>
      <c r="F135">
        <v>1971</v>
      </c>
      <c r="G135">
        <v>2001</v>
      </c>
    </row>
    <row r="136" spans="1:7" x14ac:dyDescent="0.35">
      <c r="A136">
        <v>135</v>
      </c>
      <c r="B136" s="5" t="s">
        <v>84</v>
      </c>
      <c r="C136" s="5" t="s">
        <v>164</v>
      </c>
      <c r="D136" s="5" t="s">
        <v>139</v>
      </c>
      <c r="E136" s="5" t="s">
        <v>181</v>
      </c>
      <c r="F136">
        <v>1970</v>
      </c>
      <c r="G136">
        <v>2008</v>
      </c>
    </row>
    <row r="137" spans="1:7" x14ac:dyDescent="0.35">
      <c r="A137">
        <v>136</v>
      </c>
      <c r="B137" s="5" t="s">
        <v>143</v>
      </c>
      <c r="C137" s="5" t="s">
        <v>156</v>
      </c>
      <c r="D137" s="5" t="s">
        <v>137</v>
      </c>
      <c r="E137" s="5" t="s">
        <v>86</v>
      </c>
      <c r="F137">
        <v>1983</v>
      </c>
      <c r="G137">
        <v>2011</v>
      </c>
    </row>
    <row r="138" spans="1:7" x14ac:dyDescent="0.35">
      <c r="A138">
        <v>137</v>
      </c>
      <c r="B138" s="5" t="s">
        <v>91</v>
      </c>
      <c r="C138" s="5" t="s">
        <v>36</v>
      </c>
      <c r="D138" s="5" t="s">
        <v>152</v>
      </c>
      <c r="E138" s="5" t="s">
        <v>122</v>
      </c>
      <c r="F138">
        <v>1984</v>
      </c>
      <c r="G138">
        <v>2005</v>
      </c>
    </row>
    <row r="139" spans="1:7" x14ac:dyDescent="0.35">
      <c r="A139">
        <v>138</v>
      </c>
      <c r="B139" s="5" t="s">
        <v>75</v>
      </c>
      <c r="C139" s="5" t="s">
        <v>67</v>
      </c>
      <c r="D139" s="5" t="s">
        <v>159</v>
      </c>
      <c r="E139" s="5" t="s">
        <v>36</v>
      </c>
      <c r="F139">
        <v>1973</v>
      </c>
      <c r="G139">
        <v>2010</v>
      </c>
    </row>
    <row r="140" spans="1:7" x14ac:dyDescent="0.35">
      <c r="A140">
        <v>139</v>
      </c>
      <c r="B140" s="5" t="s">
        <v>126</v>
      </c>
      <c r="C140" s="5" t="s">
        <v>56</v>
      </c>
      <c r="D140" s="5" t="s">
        <v>186</v>
      </c>
      <c r="E140" s="5" t="s">
        <v>124</v>
      </c>
      <c r="F140">
        <v>1971</v>
      </c>
      <c r="G140">
        <v>1999</v>
      </c>
    </row>
    <row r="141" spans="1:7" x14ac:dyDescent="0.35">
      <c r="A141">
        <v>140</v>
      </c>
      <c r="B141" s="5" t="s">
        <v>130</v>
      </c>
      <c r="C141" s="5" t="s">
        <v>179</v>
      </c>
      <c r="D141" s="5" t="s">
        <v>73</v>
      </c>
      <c r="E141" s="5" t="s">
        <v>77</v>
      </c>
      <c r="F141">
        <v>1972</v>
      </c>
      <c r="G141">
        <v>2014</v>
      </c>
    </row>
    <row r="142" spans="1:7" x14ac:dyDescent="0.35">
      <c r="A142">
        <v>141</v>
      </c>
      <c r="B142" s="5" t="s">
        <v>111</v>
      </c>
      <c r="C142" s="5" t="s">
        <v>145</v>
      </c>
      <c r="D142" s="5" t="s">
        <v>90</v>
      </c>
      <c r="E142" s="5" t="s">
        <v>54</v>
      </c>
      <c r="F142">
        <v>1982</v>
      </c>
      <c r="G142">
        <v>2014</v>
      </c>
    </row>
    <row r="143" spans="1:7" x14ac:dyDescent="0.35">
      <c r="A143">
        <v>142</v>
      </c>
      <c r="B143" s="5" t="s">
        <v>65</v>
      </c>
      <c r="C143" s="5" t="s">
        <v>136</v>
      </c>
      <c r="D143" s="5" t="s">
        <v>51</v>
      </c>
      <c r="E143" s="5" t="s">
        <v>172</v>
      </c>
      <c r="F143">
        <v>1981</v>
      </c>
      <c r="G143">
        <v>2008</v>
      </c>
    </row>
    <row r="144" spans="1:7" x14ac:dyDescent="0.35">
      <c r="A144">
        <v>143</v>
      </c>
      <c r="B144" s="5" t="s">
        <v>168</v>
      </c>
      <c r="C144" s="5" t="s">
        <v>186</v>
      </c>
      <c r="D144" s="5" t="s">
        <v>107</v>
      </c>
      <c r="E144" s="5" t="s">
        <v>144</v>
      </c>
      <c r="F144">
        <v>1978</v>
      </c>
      <c r="G144">
        <v>2011</v>
      </c>
    </row>
    <row r="145" spans="1:7" x14ac:dyDescent="0.35">
      <c r="A145">
        <v>144</v>
      </c>
      <c r="B145" s="5" t="s">
        <v>179</v>
      </c>
      <c r="C145" s="5" t="s">
        <v>170</v>
      </c>
      <c r="D145" s="5" t="s">
        <v>127</v>
      </c>
      <c r="E145" s="5" t="s">
        <v>52</v>
      </c>
      <c r="F145">
        <v>1978</v>
      </c>
      <c r="G145">
        <v>2006</v>
      </c>
    </row>
    <row r="146" spans="1:7" x14ac:dyDescent="0.35">
      <c r="A146">
        <v>145</v>
      </c>
      <c r="B146" s="5" t="s">
        <v>101</v>
      </c>
      <c r="C146" s="5" t="s">
        <v>171</v>
      </c>
      <c r="D146" s="5" t="s">
        <v>72</v>
      </c>
      <c r="E146" s="5" t="s">
        <v>167</v>
      </c>
      <c r="F146">
        <v>1985</v>
      </c>
      <c r="G146">
        <v>1999</v>
      </c>
    </row>
    <row r="147" spans="1:7" x14ac:dyDescent="0.35">
      <c r="A147">
        <v>146</v>
      </c>
      <c r="B147" s="5" t="s">
        <v>140</v>
      </c>
      <c r="C147" s="5" t="s">
        <v>143</v>
      </c>
      <c r="D147" s="5" t="s">
        <v>114</v>
      </c>
      <c r="E147" s="5" t="s">
        <v>102</v>
      </c>
      <c r="F147">
        <v>1983</v>
      </c>
      <c r="G147">
        <v>2013</v>
      </c>
    </row>
    <row r="148" spans="1:7" x14ac:dyDescent="0.35">
      <c r="A148">
        <v>147</v>
      </c>
      <c r="B148" s="5" t="s">
        <v>148</v>
      </c>
      <c r="C148" s="5" t="s">
        <v>58</v>
      </c>
      <c r="D148" s="5" t="s">
        <v>88</v>
      </c>
      <c r="E148" s="5" t="s">
        <v>129</v>
      </c>
      <c r="F148">
        <v>1986</v>
      </c>
      <c r="G148">
        <v>2017</v>
      </c>
    </row>
    <row r="149" spans="1:7" x14ac:dyDescent="0.35">
      <c r="A149">
        <v>148</v>
      </c>
      <c r="B149" s="5" t="s">
        <v>43</v>
      </c>
      <c r="C149" s="5" t="s">
        <v>130</v>
      </c>
      <c r="D149" s="5" t="s">
        <v>38</v>
      </c>
      <c r="E149" s="5" t="s">
        <v>78</v>
      </c>
      <c r="F149">
        <v>1978</v>
      </c>
      <c r="G149">
        <v>2009</v>
      </c>
    </row>
    <row r="150" spans="1:7" x14ac:dyDescent="0.35">
      <c r="A150">
        <v>149</v>
      </c>
      <c r="B150" s="5" t="s">
        <v>103</v>
      </c>
      <c r="C150" s="5" t="s">
        <v>100</v>
      </c>
      <c r="D150" s="5" t="s">
        <v>55</v>
      </c>
      <c r="E150" s="5" t="s">
        <v>152</v>
      </c>
      <c r="F150">
        <v>1977</v>
      </c>
      <c r="G150">
        <v>2003</v>
      </c>
    </row>
    <row r="151" spans="1:7" x14ac:dyDescent="0.35">
      <c r="A151">
        <v>150</v>
      </c>
      <c r="B151" s="5" t="s">
        <v>162</v>
      </c>
      <c r="C151" s="5" t="s">
        <v>85</v>
      </c>
      <c r="D151" s="5" t="s">
        <v>134</v>
      </c>
      <c r="E151" s="5" t="s">
        <v>180</v>
      </c>
      <c r="F151">
        <v>1985</v>
      </c>
      <c r="G151">
        <v>2002</v>
      </c>
    </row>
    <row r="152" spans="1:7" x14ac:dyDescent="0.35">
      <c r="A152">
        <v>151</v>
      </c>
      <c r="B152" s="5" t="s">
        <v>124</v>
      </c>
      <c r="C152" s="5" t="s">
        <v>88</v>
      </c>
      <c r="D152" s="5" t="s">
        <v>105</v>
      </c>
      <c r="E152" s="5" t="s">
        <v>186</v>
      </c>
      <c r="F152">
        <v>1973</v>
      </c>
      <c r="G152">
        <v>2006</v>
      </c>
    </row>
    <row r="153" spans="1:7" x14ac:dyDescent="0.35">
      <c r="A153">
        <v>152</v>
      </c>
      <c r="B153" s="5" t="s">
        <v>172</v>
      </c>
      <c r="C153" s="5" t="s">
        <v>152</v>
      </c>
      <c r="D153" s="5" t="s">
        <v>143</v>
      </c>
      <c r="E153" s="5" t="s">
        <v>148</v>
      </c>
      <c r="F153">
        <v>1981</v>
      </c>
      <c r="G153">
        <v>2011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CDF3E7-3B9A-4F55-9CA0-B46DCE9C46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Wage130</vt:lpstr>
      <vt:lpstr>Sheet1</vt:lpstr>
      <vt:lpstr>realgdp</vt:lpstr>
      <vt:lpstr>B</vt:lpstr>
      <vt:lpstr>B Graphs</vt:lpstr>
      <vt:lpstr>assigned-countries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Sun</dc:creator>
  <cp:lastModifiedBy>Henry Sun</cp:lastModifiedBy>
  <dcterms:created xsi:type="dcterms:W3CDTF">2015-06-05T18:17:20Z</dcterms:created>
  <dcterms:modified xsi:type="dcterms:W3CDTF">2022-03-13T03:06:20Z</dcterms:modified>
</cp:coreProperties>
</file>